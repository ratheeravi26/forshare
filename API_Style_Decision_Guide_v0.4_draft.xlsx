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ision guide" sheetId="1" state="visible" r:id="rId3"/>
    <sheet name="Reference matrix" sheetId="2" state="visible" r:id="rId4"/>
    <sheet name="Guidance" sheetId="3" state="visible" r:id="rId5"/>
    <sheet name="Change log" sheetId="4" state="visible" r:id="rId6"/>
    <sheet name="Review" sheetId="5" state="visible" r:id="rId7"/>
  </sheets>
  <definedNames>
    <definedName function="false" hidden="false" localSheetId="0" name="_xlnm.Print_Area" vbProcedure="false">'Decision guide'!$A$1:$D$63</definedName>
    <definedName function="false" hidden="false" localSheetId="1" name="_xlnm.Print_Area" vbProcedure="false">'Reference matrix'!$A$1:$I$78</definedName>
    <definedName function="false" hidden="false" localSheetId="1" name="_xlnm.Print_Titles" vbProcedure="false">'Reference matrix'!$6:$6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<sst xmlns="http://schemas.openxmlformats.org/spreadsheetml/2006/main" count="628" uniqueCount="415">
  <si>
    <t xml:space="preserve">DRAFT v0.4: API style decision guide for request/response APIs. REST is the default; GraphQL and gRPC are approved for two specific use cases.</t>
  </si>
  <si>
    <t xml:space="preserve">Request/response (the consumer waits, or collects the answer later)</t>
  </si>
  <si>
    <t xml:space="preserve">Most APIs: answer steps 1 and 2 and you're done. Only if one of the two specific use cases applies, answer its five checks.</t>
  </si>
  <si>
    <t xml:space="preserve">Notifications, events or a continuous stream</t>
  </si>
  <si>
    <t xml:space="preserve">In scope: GraphQL for read-only queries, and gRPC for unary request-response calls (one request, one response). GraphQL mutations and subscriptions, and gRPC streaming, are not covered.</t>
  </si>
  <si>
    <t xml:space="preserve">File or bulk-data transfer</t>
  </si>
  <si>
    <t xml:space="preserve">No: neither use case applies</t>
  </si>
  <si>
    <t xml:space="preserve">Platform status (kept up to date by the API platform team)</t>
  </si>
  <si>
    <t xml:space="preserve">A: ★ GraphQL use case (see A below)</t>
  </si>
  <si>
    <t xml:space="preserve">GraphQL</t>
  </si>
  <si>
    <t xml:space="preserve">Is GraphQL supported end to end on the API platform today?</t>
  </si>
  <si>
    <t xml:space="preserve">Not yet supported</t>
  </si>
  <si>
    <t xml:space="preserve">B: ★ gRPC use case (see B below)</t>
  </si>
  <si>
    <t xml:space="preserve">gRPC</t>
  </si>
  <si>
    <t xml:space="preserve">Is gRPC supported end to end on the API platform today?</t>
  </si>
  <si>
    <t xml:space="preserve">Yes</t>
  </si>
  <si>
    <t xml:space="preserve">No</t>
  </si>
  <si>
    <t xml:space="preserve">Step 1. Scope</t>
  </si>
  <si>
    <t xml:space="preserve">Supported</t>
  </si>
  <si>
    <t xml:space="preserve">Interaction</t>
  </si>
  <si>
    <t xml:space="preserve">What kind of interaction is it?</t>
  </si>
  <si>
    <t xml:space="preserve">Only request/response APIs are covered here.</t>
  </si>
  <si>
    <t xml:space="preserve">Step 2. Does one of the two specific use cases apply? If not, the answer is REST.</t>
  </si>
  <si>
    <t xml:space="preserve">Use case</t>
  </si>
  <si>
    <t xml:space="preserve">Does use case A or B describe your API?</t>
  </si>
  <si>
    <t xml:space="preserve">If in doubt, the answer is No.</t>
  </si>
  <si>
    <t xml:space="preserve">★ A · GraphQL (read-only queries)</t>
  </si>
  <si>
    <t xml:space="preserve">Several internal front ends need different, changing views of the same connected data, e.g. client service, operations and risk screens showing different mixes of client, account, holdings and settlement data. Evidence needed: a documented REST assessment showing field selection, expand, composite resources and a BFF don't work. Complex filtering, or data from several systems, doesn't count on its own.</t>
  </si>
  <si>
    <t xml:space="preserve">★ B · gRPC (unary calls)</t>
  </si>
  <si>
    <t xml:space="preserve">Internal service-to-service request-response calls have a performance bottleneck that REST tuning can't fix: latency from high-frequency calls between microservices (e.g. a settlement engine calling a reference-data or pricing service thousands of times a second), or bandwidth from large or frequent payloads between services or data centres. Evidence needed: production measurements, or for a new service a prototype benchmark against a REST baseline. Expected volume alone doesn't count.</t>
  </si>
  <si>
    <t xml:space="preserve">Result</t>
  </si>
  <si>
    <t xml:space="preserve">RECOMMENDED STYLE</t>
  </si>
  <si>
    <t xml:space="preserve">Green only when GraphQL or gRPC is recommended. REST is the default.</t>
  </si>
  <si>
    <t xml:space="preserve">Outcome</t>
  </si>
  <si>
    <t xml:space="preserve">Step 3a. GraphQL characteristics: only if you picked A. Every answer must be Yes.</t>
  </si>
  <si>
    <t xml:space="preserve">Many different consumers</t>
  </si>
  <si>
    <t xml:space="preserve">Do more than 5 consumers each need different data from the same API, and do those needs keep changing? With fewer, or with the same needs, a BFF or composite resource is simpler.</t>
  </si>
  <si>
    <t xml:space="preserve">Connected data</t>
  </si>
  <si>
    <t xml:space="preserve">Do consumers navigate related data in different ways within one request (e.g. client → accounts → holdings → settlements), rather than fetching flat resources?</t>
  </si>
  <si>
    <t xml:space="preserve">Read-only queries</t>
  </si>
  <si>
    <t xml:space="preserve">Will GraphQL serve read-only queries, with every change or action (including starting long-running work) kept in REST?</t>
  </si>
  <si>
    <t xml:space="preserve">Known internal consumers</t>
  </si>
  <si>
    <t xml:space="preserve">Are all consumers internal Euroclear applications, so every query can be pre-approved (persisted queries) and limited in depth and cost?</t>
  </si>
  <si>
    <t xml:space="preserve">No HTTP caching needed</t>
  </si>
  <si>
    <t xml:space="preserve">Can the API do without gateway, CDN or browser caching of responses? GraphQL queries bypass standard HTTP caching.</t>
  </si>
  <si>
    <t xml:space="preserve">Step 3b. gRPC characteristics: only if you picked B. Every answer must be Yes.</t>
  </si>
  <si>
    <t xml:space="preserve">Service-to-service</t>
  </si>
  <si>
    <t xml:space="preserve">Is every consumer an internal backend service? Browsers can't call gRPC directly, and external parties expect REST.</t>
  </si>
  <si>
    <t xml:space="preserve">Typed, structured messages</t>
  </si>
  <si>
    <t xml:space="preserve">Are requests and responses structured data with a fixed schema, with no files or free-form parts? That's what Protobuf's compact binary messages are built for.</t>
  </si>
  <si>
    <t xml:space="preserve">HTTP/2 and generated clients</t>
  </si>
  <si>
    <t xml:space="preserve">Do every consumer and hop on the path support HTTP/2 and client code generated from a Protobuf contract? Legacy or HTTP/1.1-only consumers can't use gRPC.</t>
  </si>
  <si>
    <t xml:space="preserve">Shared, governed contract</t>
  </si>
  <si>
    <t xml:space="preserve">Can provider and consumers manage contract changes together, through a shared Protobuf registry with breaking-change checks? Consumers depend on generated code, so uncontrolled changes break them.</t>
  </si>
  <si>
    <t xml:space="preserve">Can the API do without gateway, CDN or browser caching of responses? gRPC always uses POST, which these caches don't store.</t>
  </si>
  <si>
    <t xml:space="preserve">Step 4. Only for GraphQL or gRPC: before you build, and in the decision record</t>
  </si>
  <si>
    <t xml:space="preserve">★ GraphQL</t>
  </si>
  <si>
    <t xml:space="preserve">• Platform support: check Platform status at the top. If GraphQL isn't supported yet, the build waits for the platform uplift.</t>
  </si>
  <si>
    <t xml:space="preserve">• No market or regulatory standard may prescribe the interface: ask architecture governance if unsure.</t>
  </si>
  <si>
    <t xml:space="preserve">• The team hasn't run GraphQL in production: add a plan to build the skills.</t>
  </si>
  <si>
    <t xml:space="preserve">• Fine-grained access or highly sensitive data: authorize every field and nested object.</t>
  </si>
  <si>
    <t xml:space="preserve">• Per-operation audit, rate limits or WAF rules needed at the gateway: confirm the gateway can see GraphQL operations.</t>
  </si>
  <si>
    <t xml:space="preserve">• Large or deeply nested responses: set depth and complexity limits.</t>
  </si>
  <si>
    <t xml:space="preserve">★ gRPC</t>
  </si>
  <si>
    <t xml:space="preserve">• Platform support: check Platform status at the top. If gRPC isn't supported yet, the build waits for the platform uplift.</t>
  </si>
  <si>
    <t xml:space="preserve">• The team hasn't run gRPC in production: add a plan to build the skills.</t>
  </si>
  <si>
    <t xml:space="preserve">• More than 100 consumers: each needs generated client code.</t>
  </si>
  <si>
    <t xml:space="preserve">• Large messages: page or chunk them (4 MB default message limit).</t>
  </si>
  <si>
    <t xml:space="preserve">• Load balancing per request in the gateway or mesh, since HTTP/2 connections are long-lived.</t>
  </si>
  <si>
    <t xml:space="preserve">REST design guardrails: apply to every API</t>
  </si>
  <si>
    <t xml:space="preserve">• Page every list.</t>
  </si>
  <si>
    <t xml:space="preserve">• High call volume expected but not yet measured: benchmark a prototype against REST early; if it shows a bottleneck, reassess use case B.</t>
  </si>
  <si>
    <t xml:space="preserve">• Documents and files: serve them as REST resources with the right content type.</t>
  </si>
  <si>
    <t xml:space="preserve">• Long-running work: async request-reply (202 Accepted plus a status resource).</t>
  </si>
  <si>
    <t xml:space="preserve">• Complex filtering: use a REST search endpoint (POST with a filter body). It is not a reason for GraphQL.</t>
  </si>
  <si>
    <t xml:space="preserve">• Data from several systems: use a composite resource or BFF. It is not a reason for GraphQL.</t>
  </si>
  <si>
    <t xml:space="preserve">• Contract-first code generation: OpenAPI provides it for REST too. It is not a reason for gRPC.</t>
  </si>
  <si>
    <t xml:space="preserve">• Expose a domain model, not the data-source schema.</t>
  </si>
  <si>
    <t xml:space="preserve">• Record the response-time target and the full timeout budget.</t>
  </si>
  <si>
    <t xml:space="preserve">• Define amounts, dates and large IDs explicitly: GraphQL's Int is 32-bit and Protobuf has no built-in decimal type.</t>
  </si>
  <si>
    <t xml:space="preserve">• Follow the versioning and deprecation policy.</t>
  </si>
  <si>
    <t xml:space="preserve">• Enforce authorization in the service layer.</t>
  </si>
  <si>
    <t xml:space="preserve">REFERENCE: full API style matrix behind the Decision guide (draft v0.4). You don't need to fill this in; it shows the reasoning for each rule.</t>
  </si>
  <si>
    <t xml:space="preserve">Reference only. The Decision guide tab is all most architects need; this matrix shows the reasoning behind its rules.</t>
  </si>
  <si>
    <t xml:space="preserve">★ GraphQL is recommended when requirement 3 is "★ Several front ends need different, changing views; REST proven inadequate" (e.g. client service, operations and risk screens over the same data) and the GraphQL column has no F.</t>
  </si>
  <si>
    <t xml:space="preserve">★ gRPC is recommended when requirement 8 is one of its two ★ options (a measured or benchmarked latency or bandwidth bottleneck in service-to-service calls, e.g. between microservices) and the gRPC column has no F.</t>
  </si>
  <si>
    <t xml:space="preserve">Category</t>
  </si>
  <si>
    <t xml:space="preserve">Option</t>
  </si>
  <si>
    <t xml:space="preserve">REST</t>
  </si>
  <si>
    <t xml:space="preserve">LEGEND</t>
  </si>
  <si>
    <t xml:space="preserve">Description</t>
  </si>
  <si>
    <t xml:space="preserve">Scope (1)</t>
  </si>
  <si>
    <t xml:space="preserve">1. Interaction pattern</t>
  </si>
  <si>
    <t xml:space="preserve">R</t>
  </si>
  <si>
    <t xml:space="preserve">Recommended</t>
  </si>
  <si>
    <t xml:space="preserve">How do consumer and provider interact?</t>
  </si>
  <si>
    <t xml:space="preserve">Consumer waits for the answer</t>
  </si>
  <si>
    <t xml:space="preserve">S</t>
  </si>
  <si>
    <t xml:space="preserve">The consumer waits for the response before continuing. Record the target (e.g. 95% within 500 ms) and check that every timeout on the path (consumer, gateway, service) is longer. If not, pick the next option.</t>
  </si>
  <si>
    <t xml:space="preserve">Long-running; answer collected later</t>
  </si>
  <si>
    <t xml:space="preserve">F</t>
  </si>
  <si>
    <t xml:space="preserve">N</t>
  </si>
  <si>
    <t xml:space="preserve">Not recommended</t>
  </si>
  <si>
    <t xml:space="preserve">The work takes longer than the timeout budget. Use async request-reply: return 202 Accepted with a status resource the consumer checks. GraphQL can't start work (query-only); gRPC can, but gives no advantage.</t>
  </si>
  <si>
    <t xml:space="preserve">Notifications or events</t>
  </si>
  <si>
    <t xml:space="preserve">Exit</t>
  </si>
  <si>
    <t xml:space="preserve">Forbidden</t>
  </si>
  <si>
    <t xml:space="preserve">Consumers must be told when something happens, or events go to many receivers. Use the event-driven framework instead.</t>
  </si>
  <si>
    <t xml:space="preserve">Continuous stream of updates</t>
  </si>
  <si>
    <t xml:space="preserve">A consumer needs a live feed of changes. GraphQL subscriptions and gRPC streaming are outside this matrix.</t>
  </si>
  <si>
    <t xml:space="preserve">Moving files or large data sets is the main purpose. Use the data-mobility assessment. An API may still start or track the transfer.</t>
  </si>
  <si>
    <t xml:space="preserve">Functional requirements (2–5)</t>
  </si>
  <si>
    <t xml:space="preserve">2. Operation</t>
  </si>
  <si>
    <t xml:space="preserve">What does the API do?</t>
  </si>
  <si>
    <t xml:space="preserve">Read only</t>
  </si>
  <si>
    <t xml:space="preserve">Retrieves information without changing it, e.g. a settlement's status or a user profile.</t>
  </si>
  <si>
    <t xml:space="preserve">Change data or trigger actions only</t>
  </si>
  <si>
    <t xml:space="preserve">Creates, updates or deletes data, or starts a business step such as cancel or approve. GraphQL is query-only in this assessment. Use REST resources and action endpoints, e.g. POST /instructions/{id}/cancel.</t>
  </si>
  <si>
    <t xml:space="preserve">Both</t>
  </si>
  <si>
    <t xml:space="preserve">Reads and changes. GraphQL could serve only the reads, so it means splitting the API: GraphQL for reads, REST for changes. Justify the extra interface.</t>
  </si>
  <si>
    <t xml:space="preserve">3. Data needs across consumers</t>
  </si>
  <si>
    <t xml:space="preserve">Do consumers need different data from the same API?</t>
  </si>
  <si>
    <t xml:space="preserve">Same for every consumer</t>
  </si>
  <si>
    <t xml:space="preserve">Every consumer needs the same resource or combination, e.g. a settlement with its status. Data coming from several systems doesn't change this: use a REST composite resource.</t>
  </si>
  <si>
    <t xml:space="preserve">Varies; REST field selection or composites cover it</t>
  </si>
  <si>
    <t xml:space="preserve">Consumers need different fields or related data, and REST covers it with field selection (?fields=), embedded related data (?expand=), composite resources or a backend for frontend (BFF).</t>
  </si>
  <si>
    <t xml:space="preserve">★ Several front ends need different, changing views; REST proven inadequate</t>
  </si>
  <si>
    <r>
      <rPr>
        <b val="true"/>
        <sz val="10"/>
        <color rgb="FF006100"/>
        <rFont val="Arial"/>
        <family val="0"/>
        <charset val="1"/>
      </rPr>
      <t xml:space="preserve">★ GraphQL is recommended here. </t>
    </r>
    <r>
      <rPr>
        <sz val="10"/>
        <rFont val="Arial"/>
        <family val="0"/>
        <charset val="1"/>
      </rPr>
      <t xml:space="preserve">Several consumers, typically internal front ends such as client service, operations and risk screens, each need different and changing combinations of the same connected data, e.g. client → accounts → holdings → settlements. You've documented why field selection, expand, composite resources and a BFF don't work. Complex filtering, or data from several systems, doesn't count on its own.</t>
    </r>
  </si>
  <si>
    <t xml:space="preserve">4. Response size</t>
  </si>
  <si>
    <t xml:space="preserve">How much data comes back in one response?</t>
  </si>
  <si>
    <t xml:space="preserve">Single item or paged list</t>
  </si>
  <si>
    <t xml:space="preserve">One item, or a list split into pages (e.g. up to 100 items) with shallow objects. Page every list, whatever the style.</t>
  </si>
  <si>
    <t xml:space="preserve">Large or deeply nested</t>
  </si>
  <si>
    <t xml:space="preserve">Many items with deep sub-objects in one response. Page and trim it instead. GraphQL's cost grows with depth, and gRPC caps received messages at 4 MB by default.</t>
  </si>
  <si>
    <t xml:space="preserve">5. Payload content</t>
  </si>
  <si>
    <t xml:space="preserve">What do requests and responses carry? If several apply, pick the lowest one.</t>
  </si>
  <si>
    <t xml:space="preserve">Fixed schema</t>
  </si>
  <si>
    <t xml:space="preserve">Structured data with a defined type for every field. All three styles have typed contracts (OpenAPI, GraphQL SDL, Protobuf), so typing doesn't decide the style.</t>
  </si>
  <si>
    <t xml:space="preserve">Includes documents or files</t>
  </si>
  <si>
    <t xml:space="preserve">A call sends or returns files such as PDF statements or images. REST serves them natively with the right content type. GraphQL has no binary type, and gRPC's 4 MB default limit applies.</t>
  </si>
  <si>
    <t xml:space="preserve">Includes free-form parts</t>
  </si>
  <si>
    <t xml:space="preserve">Part of the structure varies or isn't known upfront, e.g. free-form attributes. JSON handles this naturally; GraphQL and Protobuf need generic types, which weakens their contract.</t>
  </si>
  <si>
    <t xml:space="preserve">Consumer context (6–7)</t>
  </si>
  <si>
    <t xml:space="preserve">6. Consumer type</t>
  </si>
  <si>
    <t xml:space="preserve">Who calls the API? If several, pick the most external.</t>
  </si>
  <si>
    <t xml:space="preserve">Internal service</t>
  </si>
  <si>
    <t xml:space="preserve">Another Euroclear backend service calls the API: service-to-service, e.g. one microservice calling another.</t>
  </si>
  <si>
    <t xml:space="preserve">Euroclear front end (browser)</t>
  </si>
  <si>
    <t xml:space="preserve">A browser-based UI calls the API directly. Browsers can't call gRPC; they need gRPC-Web through a proxy or server support. If a BFF sits in between, assess its backend calls as Internal service.</t>
  </si>
  <si>
    <t xml:space="preserve">External participant or third party</t>
  </si>
  <si>
    <t xml:space="preserve">Systems outside Euroclear call the API through the external gateway. Use REST with an OpenAPI contract: external parties expect it, GraphQL would expose a query language to outsiders, and gRPC needs generated clients and HTTP/2 on their side.</t>
  </si>
  <si>
    <t xml:space="preserve">7. Number of consumers</t>
  </si>
  <si>
    <t xml:space="preserve">How many consuming applications? Estimate two years ahead.</t>
  </si>
  <si>
    <t xml:space="preserve">Up to 5</t>
  </si>
  <si>
    <t xml:space="preserve">A few known consumers. Give each the view it needs with a tailored REST response or a backend for frontend (BFF); running GraphQL for this few isn't justified.</t>
  </si>
  <si>
    <t xml:space="preserve">6 to 100</t>
  </si>
  <si>
    <t xml:space="preserve">A known set of consuming applications.</t>
  </si>
  <si>
    <t xml:space="preserve">More than 100</t>
  </si>
  <si>
    <t xml:space="preserve">Many consumers, often on different technologies. Each gRPC consumer needs generated client code and HTTP/2, so REST's reach matters more.</t>
  </si>
  <si>
    <t xml:space="preserve">Non-functional requirements (8–12)</t>
  </si>
  <si>
    <t xml:space="preserve">8. Performance evidence</t>
  </si>
  <si>
    <t xml:space="preserve">Has a performance problem in service-to-service calls been measured or benchmarked?</t>
  </si>
  <si>
    <t xml:space="preserve">No measured bottleneck</t>
  </si>
  <si>
    <t xml:space="preserve">No measurement or benchmark shows serialization, connection or bandwidth cost as a problem, and no unusually high call volume is expected. Don't choose a style based on assumed speed.</t>
  </si>
  <si>
    <t xml:space="preserve">High volume expected, not yet benchmarked</t>
  </si>
  <si>
    <t xml:space="preserve">A new service is expected to handle high-frequency service-to-service calls, but nothing has been measured yet. Start with REST and benchmark a prototype against a REST baseline early.</t>
  </si>
  <si>
    <t xml:space="preserve">★ Latency bottleneck in high-frequency service-to-service calls</t>
  </si>
  <si>
    <r>
      <rPr>
        <b val="true"/>
        <sz val="10"/>
        <color rgb="FF006100"/>
        <rFont val="Arial"/>
        <family val="0"/>
        <charset val="1"/>
      </rPr>
      <t xml:space="preserve">★ gRPC is recommended here. </t>
    </r>
    <r>
      <rPr>
        <sz val="10"/>
        <rFont val="Arial"/>
        <family val="0"/>
        <charset val="1"/>
      </rPr>
      <t xml:space="preserve">Microservices call each other at high frequency and per-call overhead dominates latency, e.g. a settlement engine calling a reference-data or pricing service thousands of times a second. Tuning REST (HTTP/2, connection reuse, smaller payloads) didn't fix it. Measured in production, or for a new service, benchmarked with a prototype against a REST baseline. Attach the numbers.</t>
    </r>
  </si>
  <si>
    <t xml:space="preserve">★ Bandwidth bottleneck in service-to-service traffic</t>
  </si>
  <si>
    <r>
      <rPr>
        <b val="true"/>
        <sz val="10"/>
        <color rgb="FF006100"/>
        <rFont val="Arial"/>
        <family val="0"/>
        <charset val="1"/>
      </rPr>
      <t xml:space="preserve">★ gRPC is recommended here. </t>
    </r>
    <r>
      <rPr>
        <sz val="10"/>
        <rFont val="Arial"/>
        <family val="0"/>
        <charset val="1"/>
      </rPr>
      <t xml:space="preserve">Internal services exchange large or frequent payloads and JSON size drives network cost or latency, e.g. position or risk data moving between microservices or data centres. Compression and trimming payloads didn't fix it; Protobuf's binary format is typically much smaller. Measured or benchmarked against a REST baseline. Attach the numbers.</t>
    </r>
  </si>
  <si>
    <t xml:space="preserve">9. Caching</t>
  </si>
  <si>
    <t xml:space="preserve">Do gateways, CDNs or browsers need to cache responses?</t>
  </si>
  <si>
    <t xml:space="preserve">Standard HTTP caching needed</t>
  </si>
  <si>
    <t xml:space="preserve">Shared caches must store responses (Cache-Control, ETag). gRPC always uses POST, which these caches don't store in practice; GraphQL needs GET requests, usually with persisted queries.</t>
  </si>
  <si>
    <t xml:space="preserve">Not needed</t>
  </si>
  <si>
    <t xml:space="preserve">Caching, if any, is managed by the service or consumer, or a documented rule forbids it (Cache-Control: no-store).</t>
  </si>
  <si>
    <t xml:space="preserve">10. Security and data sensitivity</t>
  </si>
  <si>
    <t xml:space="preserve">How is access decided, and how sensitive is the data? If unsure, pick the second option.</t>
  </si>
  <si>
    <t xml:space="preserve">Role-based</t>
  </si>
  <si>
    <t xml:space="preserve">Access depends only on the caller's role (RBAC), and the data isn't highly sensitive.</t>
  </si>
  <si>
    <t xml:space="preserve">Fine-grained, or highly sensitive data</t>
  </si>
  <si>
    <t xml:space="preserve">Access depends on data attributes or business rules (ABAC), e.g. users see only their own accounts, or the data is highly sensitive. Enforce it in the service layer. In GraphQL every field and nested object needs its own check, or related data can leak.</t>
  </si>
  <si>
    <t xml:space="preserve">11. Interoperability</t>
  </si>
  <si>
    <t xml:space="preserve">What can the consumers' technology handle?</t>
  </si>
  <si>
    <t xml:space="preserve">HTTP/2 and generated clients on every consumer</t>
  </si>
  <si>
    <t xml:space="preserve">Every consumer, and every proxy on the way, supports HTTP/2 and can generate client code from a contract. This makes gRPC possible, not preferable: REST runs on HTTP/2 too.</t>
  </si>
  <si>
    <t xml:space="preserve">Some consumers are HTTP/1.1-only or on legacy stacks</t>
  </si>
  <si>
    <t xml:space="preserve">A consumer or proxy supports only HTTP/1.1, or runs on a stack without gRPC libraries. gRPC needs HTTP/2 end to end.</t>
  </si>
  <si>
    <t xml:space="preserve">12. Observability and audit</t>
  </si>
  <si>
    <t xml:space="preserve">What must operations and audit see at the gateway? If unsure, check with Security or Compliance.</t>
  </si>
  <si>
    <t xml:space="preserve">Standard logging and monitoring</t>
  </si>
  <si>
    <t xml:space="preserve">Service-level logs, metrics and traces are enough.</t>
  </si>
  <si>
    <t xml:space="preserve">Per-operation audit, rate limits or WAF rules</t>
  </si>
  <si>
    <t xml:space="preserve">Each operation must be visible, limited or audited at the gateway, e.g. for regulatory audit trails. REST paths and gRPC method names are visible to standard gateways; GraphQL sends every query to one endpoint, often returning HTTP 200 even on errors.</t>
  </si>
  <si>
    <t xml:space="preserve">Constraints (13–15)</t>
  </si>
  <si>
    <t xml:space="preserve">13. Industry or regulatory standard</t>
  </si>
  <si>
    <t xml:space="preserve">Does a market standard, regulator or contract define the interface? If unsure, check with architecture governance; participant-facing APIs are the most likely to be affected.</t>
  </si>
  <si>
    <t xml:space="preserve">None applies</t>
  </si>
  <si>
    <t xml:space="preserve">No external standard prescribes the API style.</t>
  </si>
  <si>
    <t xml:space="preserve">A standard defines the interface</t>
  </si>
  <si>
    <t xml:space="preserve">Follow the standard. Market API standards typically specify REST with OpenAPI. If one prescribes another style, raise it with architecture governance.</t>
  </si>
  <si>
    <t xml:space="preserve">14. Platform readiness</t>
  </si>
  <si>
    <t xml:space="preserve">Which styles does the Euroclear platform support end to end on this API's path today? Check with the API platform team if unsure.</t>
  </si>
  <si>
    <t xml:space="preserve">REST only</t>
  </si>
  <si>
    <t xml:space="preserve">Only REST is supported on this path: gateway or mesh, security policies, monitoring and testing tools.</t>
  </si>
  <si>
    <t xml:space="preserve">REST and GraphQL</t>
  </si>
  <si>
    <t xml:space="preserve">GraphQL is also supported end to end on this path.</t>
  </si>
  <si>
    <t xml:space="preserve">REST and gRPC</t>
  </si>
  <si>
    <t xml:space="preserve">gRPC is also supported end to end on this path.</t>
  </si>
  <si>
    <t xml:space="preserve">REST, GraphQL and gRPC</t>
  </si>
  <si>
    <t xml:space="preserve">Both are also supported end to end on this path.</t>
  </si>
  <si>
    <t xml:space="preserve">15. Team capability</t>
  </si>
  <si>
    <t xml:space="preserve">Which styles has the owning team built and run in production?</t>
  </si>
  <si>
    <t xml:space="preserve">Using GraphQL or gRPC needs a justification and a plan to build the skills: design, testing, security and operations.</t>
  </si>
  <si>
    <t xml:space="preserve">The team has run GraphQL in production.</t>
  </si>
  <si>
    <t xml:space="preserve">The team has run gRPC in production.</t>
  </si>
  <si>
    <t xml:space="preserve">The team has run both in production.</t>
  </si>
  <si>
    <t xml:space="preserve">Updates as you pick an option in each grey row.</t>
  </si>
  <si>
    <t xml:space="preserve">F picked: rules the style out</t>
  </si>
  <si>
    <t xml:space="preserve">N picked: needs a written justification</t>
  </si>
  <si>
    <t xml:space="preserve">★ Trigger picked</t>
  </si>
  <si>
    <t xml:space="preserve">Default</t>
  </si>
  <si>
    <t xml:space="preserve">GraphQL: requirement 3, Data needs across consumers. gRPC: requirement 8, Performance evidence.</t>
  </si>
  <si>
    <t xml:space="preserve">Requirements not answered yet</t>
  </si>
  <si>
    <t xml:space="preserve">Guidance: the two specific use cases, their conditions and terms (draft v0.4)</t>
  </si>
  <si>
    <t xml:space="preserve">The Decision guide is all most architects need. This tab explains typical cases, the conditions that apply once GraphQL or gRPC is chosen, the REST guardrails and the terms used.</t>
  </si>
  <si>
    <t xml:space="preserve">Quick guide: typical cases and the recommended style</t>
  </si>
  <si>
    <t xml:space="preserve">Common cases at a glance. Always confirm with the matrix: an F (e.g. platform readiness) can still rule a style out.</t>
  </si>
  <si>
    <t xml:space="preserve">Typical case</t>
  </si>
  <si>
    <t xml:space="preserve">Why, and where in the matrix</t>
  </si>
  <si>
    <t xml:space="preserve">Participant-facing API for external parties</t>
  </si>
  <si>
    <t xml:space="preserve">External consumers fail the internal-consumer checks of both use cases.</t>
  </si>
  <si>
    <t xml:space="preserve">Internal service-to-service call at normal volume</t>
  </si>
  <si>
    <t xml:space="preserve">Neither specific use case applies.</t>
  </si>
  <si>
    <t xml:space="preserve">Microservices calling each other at high frequency, with a measured or benchmarked latency bottleneck</t>
  </si>
  <si>
    <t xml:space="preserve">Use case B, if the gRPC checks pass.</t>
  </si>
  <si>
    <t xml:space="preserve">Large or frequent payloads between services, with a measured or benchmarked bandwidth bottleneck</t>
  </si>
  <si>
    <t xml:space="preserve">New microservice expecting high call volumes, not yet benchmarked</t>
  </si>
  <si>
    <t xml:space="preserve">Start with REST, benchmark a prototype early, then reassess use case B.</t>
  </si>
  <si>
    <t xml:space="preserve">Several internal front ends need different, changing views of the same data, and REST options proved inadequate</t>
  </si>
  <si>
    <t xml:space="preserve">Use case A, if the GraphQL checks pass. Reads only; changes stay in REST.</t>
  </si>
  <si>
    <t xml:space="preserve">One UI or a few consumers with their own views</t>
  </si>
  <si>
    <t xml:space="preserve">Use a backend for frontend (BFF). GraphQL needs more than 5 consumers.</t>
  </si>
  <si>
    <t xml:space="preserve">Create, update or cancel instructions, or other business actions</t>
  </si>
  <si>
    <t xml:space="preserve">GraphQL is reads only; changes always use REST.</t>
  </si>
  <si>
    <t xml:space="preserve">Complex search or filtering</t>
  </si>
  <si>
    <t xml:space="preserve">Use a search endpoint. Filtering alone never justifies GraphQL.</t>
  </si>
  <si>
    <t xml:space="preserve">Combine data from several systems</t>
  </si>
  <si>
    <t xml:space="preserve">Use a composite resource or BFF. Not a reason for GraphQL on its own.</t>
  </si>
  <si>
    <t xml:space="preserve">Download documents such as statements or reports</t>
  </si>
  <si>
    <t xml:space="preserve">Serve documents as REST resources with the right content type.</t>
  </si>
  <si>
    <t xml:space="preserve">Long-running calculation or report</t>
  </si>
  <si>
    <t xml:space="preserve">Async request-reply: 202 Accepted plus a status resource.</t>
  </si>
  <si>
    <t xml:space="preserve">Notifications, status changes or a continuous stream</t>
  </si>
  <si>
    <t xml:space="preserve">Out of scope</t>
  </si>
  <si>
    <t xml:space="preserve">Use the event-driven framework.</t>
  </si>
  <si>
    <t xml:space="preserve">Bulk or file transfer</t>
  </si>
  <si>
    <t xml:space="preserve">Use the data-mobility assessment.</t>
  </si>
  <si>
    <t xml:space="preserve">Legend</t>
  </si>
  <si>
    <t xml:space="preserve">The preferred style for this need.</t>
  </si>
  <si>
    <t xml:space="preserve">Works, but is not a reason to choose the style.</t>
  </si>
  <si>
    <t xml:space="preserve">Needs a written justification if you still choose the style.</t>
  </si>
  <si>
    <t xml:space="preserve">Rules the style out for this use case.</t>
  </si>
  <si>
    <t xml:space="preserve">★ When GraphQL is recommended</t>
  </si>
  <si>
    <t xml:space="preserve">Trigger</t>
  </si>
  <si>
    <t xml:space="preserve">Use case A in the Decision guide, with the REST assessment documented (field selection, expand, composites, BFF).</t>
  </si>
  <si>
    <t xml:space="preserve">Also required</t>
  </si>
  <si>
    <t xml:space="preserve">All five GraphQL characteristics in step 3a answered Yes, and the step 4 items recorded in the decision record.</t>
  </si>
  <si>
    <t xml:space="preserve">Several internal front ends, e.g. client service, operations and risk screens, each showing different, changing combinations of client, account, holdings and settlement data.</t>
  </si>
  <si>
    <t xml:space="preserve">Conditions</t>
  </si>
  <si>
    <t xml:space="preserve">• Persisted queries only: an allow-list of approved queries.</t>
  </si>
  <si>
    <t xml:space="preserve">• Depth, complexity and rate limits.</t>
  </si>
  <si>
    <t xml:space="preserve">• Authorization in the business layer for every field and nested object.</t>
  </si>
  <si>
    <t xml:space="preserve">• Introspection switched off in production.</t>
  </si>
  <si>
    <t xml:space="preserve">• Operation names logged for monitoring and audit.</t>
  </si>
  <si>
    <t xml:space="preserve">★ When gRPC is recommended</t>
  </si>
  <si>
    <t xml:space="preserve">Use case B in the Decision guide, with measurements or a prototype benchmark against a REST baseline attached.</t>
  </si>
  <si>
    <t xml:space="preserve">All five gRPC characteristics in step 3b answered Yes, and the step 4 items recorded in the decision record.</t>
  </si>
  <si>
    <t xml:space="preserve">Microservices calling each other at high frequency, e.g. a settlement engine calling reference-data or pricing services, or services moving large position or risk payloads between each other.</t>
  </si>
  <si>
    <t xml:space="preserve">• Contracts in a shared Protobuf registry with breaking-change checks.</t>
  </si>
  <si>
    <t xml:space="preserve">• A deadline on every call.</t>
  </si>
  <si>
    <t xml:space="preserve">• Load balancing per request, not per connection, since HTTP/2 connections are long-lived.</t>
  </si>
  <si>
    <t xml:space="preserve">• Unary calls only: streaming is out of scope.</t>
  </si>
  <si>
    <t xml:space="preserve">Guardrails: apply to every style (these never decide the style)</t>
  </si>
  <si>
    <t xml:space="preserve">Glossary</t>
  </si>
  <si>
    <t xml:space="preserve">ABAC / RBAC</t>
  </si>
  <si>
    <t xml:space="preserve">Attribute-based / role-based access control: access decided by data attributes and business rules, or by the caller's role only.</t>
  </si>
  <si>
    <t xml:space="preserve">Decision record items</t>
  </si>
  <si>
    <t xml:space="preserve">The step 4 items in the Decision guide: they don't block a style but must be confirmed or justified in the decision record.</t>
  </si>
  <si>
    <t xml:space="preserve">ADR</t>
  </si>
  <si>
    <t xml:space="preserve">Architecture decision record: where the chosen style, every justified N and the evidence for a trigger are written down.</t>
  </si>
  <si>
    <t xml:space="preserve">Async request-reply</t>
  </si>
  <si>
    <t xml:space="preserve">The API accepts the request with 202 Accepted and returns a status resource the consumer checks until the result is ready.</t>
  </si>
  <si>
    <t xml:space="preserve">BFF</t>
  </si>
  <si>
    <t xml:space="preserve">Backend for frontend: a small REST service shaped for one front end, combining data from other services.</t>
  </si>
  <si>
    <t xml:space="preserve">Cache-Control, ETag</t>
  </si>
  <si>
    <t xml:space="preserve">Standard HTTP headers that let gateways, CDNs and browsers cache responses and check whether they changed.</t>
  </si>
  <si>
    <t xml:space="preserve">CDN</t>
  </si>
  <si>
    <t xml:space="preserve">Content delivery network: a shared cache in front of the API.</t>
  </si>
  <si>
    <t xml:space="preserve">gRPC-Web</t>
  </si>
  <si>
    <t xml:space="preserve">A variant of gRPC that browsers can call, via a proxy or server support.</t>
  </si>
  <si>
    <t xml:space="preserve">GraphQL SDL</t>
  </si>
  <si>
    <t xml:space="preserve">The schema definition language that describes a GraphQL API's types and queries.</t>
  </si>
  <si>
    <t xml:space="preserve">HTTP/2</t>
  </si>
  <si>
    <t xml:space="preserve">The newer HTTP version that gRPC requires on every hop; REST can use it too.</t>
  </si>
  <si>
    <t xml:space="preserve">OpenAPI</t>
  </si>
  <si>
    <t xml:space="preserve">The standard contract format for REST APIs; client code can be generated from it.</t>
  </si>
  <si>
    <t xml:space="preserve">Persisted queries</t>
  </si>
  <si>
    <t xml:space="preserve">An allow-list of approved GraphQL queries; consumers send an ID instead of free-form queries.</t>
  </si>
  <si>
    <t xml:space="preserve">Protobuf</t>
  </si>
  <si>
    <t xml:space="preserve">Protocol Buffers: gRPC's typed, binary contract and message format.</t>
  </si>
  <si>
    <t xml:space="preserve">Unary call</t>
  </si>
  <si>
    <t xml:space="preserve">One request, one response; the only gRPC call type in scope here.</t>
  </si>
  <si>
    <t xml:space="preserve">WAF</t>
  </si>
  <si>
    <t xml:space="preserve">Web application firewall: gateway rules that inspect and block requests per operation.</t>
  </si>
  <si>
    <t xml:space="preserve">Read-only GraphQL</t>
  </si>
  <si>
    <t xml:space="preserve">GraphQL queries only. Mutations (changes) and subscriptions are out of scope; changes use REST.</t>
  </si>
  <si>
    <t xml:space="preserve">Unary gRPC</t>
  </si>
  <si>
    <t xml:space="preserve">One request, one response. gRPC streaming is out of scope.</t>
  </si>
  <si>
    <t xml:space="preserve">Change log: from the original API Flavour Selection Matrix (21 categories) to v0.3, and why</t>
  </si>
  <si>
    <t xml:space="preserve">Numbers in the first column are the category numbers in the original matrix.</t>
  </si>
  <si>
    <t xml:space="preserve">Original category</t>
  </si>
  <si>
    <t xml:space="preserve">Now</t>
  </si>
  <si>
    <t xml:space="preserve">What changed and why</t>
  </si>
  <si>
    <t xml:space="preserve">v0.3: "exceptions" with general checks</t>
  </si>
  <si>
    <t xml:space="preserve">Two specific use cases with characteristic checks</t>
  </si>
  <si>
    <t xml:space="preserve">"Exception" suggests a governance waiver, so GraphQL and gRPC are now "approved for specific use cases". Step 3 now tests the characteristics that make read-only GraphQL or unary gRPC a better fit. Platform support and market standards moved to step 4, and platform status is shown at the top: neither style is supported on the API platform yet.</t>
  </si>
  <si>
    <t xml:space="preserve">v0.2: 15-question matrix</t>
  </si>
  <si>
    <t xml:space="preserve">Decision guide: 2 questions, plus 5 checks only when GraphQL or gRPC is claimed</t>
  </si>
  <si>
    <t xml:space="preserve">Review feedback: too much work for a REST-by-default rule. Most architects now answer 2 questions. Every F in the matrix became a check in step 3; every relevant N became a step 4 decision-record item; the rest became REST guardrails. No rule that can change the outcome was dropped.</t>
  </si>
  <si>
    <t xml:space="preserve">v0.2: Matrix tab</t>
  </si>
  <si>
    <t xml:space="preserve">Reference matrix</t>
  </si>
  <si>
    <t xml:space="preserve">Kept as the reasoning behind the guide's rules. Architects don't need to fill it in.</t>
  </si>
  <si>
    <t xml:space="preserve">1 Filtering</t>
  </si>
  <si>
    <t xml:space="preserve">Guardrail</t>
  </si>
  <si>
    <t xml:space="preserve">Every style can filter, and GraphQL has no built-in filter language. Use a REST search endpoint; REST F on complex filters removed.</t>
  </si>
  <si>
    <t xml:space="preserve">2 Request processing · 8 Processing time</t>
  </si>
  <si>
    <t xml:space="preserve">The same need was scored twice, plus again under Performance. REST F for 1 s–1 min removed: timeouts affect every style. Background work uses async request-reply (202 Accepted), which is REST.</t>
  </si>
  <si>
    <t xml:space="preserve">3 Size of response</t>
  </si>
  <si>
    <t xml:space="preserve">Paging handles size in every style. Very large single responses are the weak spot of GraphQL and unary gRPC, so REST R, GraphQL and gRPC N; REST F removed.</t>
  </si>
  <si>
    <t xml:space="preserve">4 Data sources</t>
  </si>
  <si>
    <t xml:space="preserve">Backend topology shouldn't shape the contract (loose coupling). Use a composite resource or BFF; REST F on joins removed.</t>
  </si>
  <si>
    <t xml:space="preserve">5 Security</t>
  </si>
  <si>
    <t xml:space="preserve">gRPC F for ABAC → S: ABAC is enforced in the service layer. Data sensitivity added.</t>
  </si>
  <si>
    <t xml:space="preserve">6 File transfer · 15 Publish-Subscribe · Async column</t>
  </si>
  <si>
    <t xml:space="preserve">1. Interaction pattern (exits)</t>
  </si>
  <si>
    <t xml:space="preserve">Out of request/response scope: these route to the data-mobility assessment and the event-driven framework instead of being scored.</t>
  </si>
  <si>
    <t xml:space="preserve">7 Interoperability</t>
  </si>
  <si>
    <t xml:space="preserve">HTTP/2 makes gRPC possible, not preferable, so it no longer earns an R. HTTP/1.1-only or legacy consumers still rule gRPC out.</t>
  </si>
  <si>
    <t xml:space="preserve">9 Response shape · 18 Related-data access</t>
  </si>
  <si>
    <t xml:space="preserve">3. Data needs across consumers · ★ GraphQL trigger</t>
  </si>
  <si>
    <t xml:space="preserve">The same need was scored twice. Field selection exists in REST, so GraphQL is recommended only when REST options are proven inadequate.</t>
  </si>
  <si>
    <t xml:space="preserve">10 Payload</t>
  </si>
  <si>
    <t xml:space="preserve">REST F for strong typing removed: OpenAPI contracts are typed. Documents and files added.</t>
  </si>
  <si>
    <t xml:space="preserve">11 Number of clients</t>
  </si>
  <si>
    <t xml:space="preserve">Same tiers. Up to 5 consumers now rules GraphQL out: a BFF per consumer is simpler.</t>
  </si>
  <si>
    <t xml:space="preserve">12 Testability · 13 Maturity</t>
  </si>
  <si>
    <t xml:space="preserve">13. Industry or regulatory standard · 14. Platform readiness · 15. Team capability</t>
  </si>
  <si>
    <t xml:space="preserve">Single options every project would pick acted as a permanent F on gRPC. Replaced by the real constraints: standards, platform support and team skills.</t>
  </si>
  <si>
    <t xml:space="preserve">14 Domain model</t>
  </si>
  <si>
    <t xml:space="preserve">Exposing a domain model, not the data-source schema, applies to every style. GraphQL F for DDD models removed.</t>
  </si>
  <si>
    <t xml:space="preserve">16 Performance · 20 Exchange efficiency</t>
  </si>
  <si>
    <t xml:space="preserve">8. Performance evidence · ★ two gRPC triggers</t>
  </si>
  <si>
    <t xml:space="preserve">The same need was scored twice. gRPC is recommended only with measured or benchmarked evidence, as the original notes said, now split into latency and bandwidth bottlenecks in service-to-service calls. A third option covers new services that expect high volume but haven't benchmarked yet.</t>
  </si>
  <si>
    <t xml:space="preserve">17 Operation</t>
  </si>
  <si>
    <t xml:space="preserve">GraphQL stays query-only. "Both" added: GraphQL then means splitting the API.</t>
  </si>
  <si>
    <t xml:space="preserve">19 Service communication</t>
  </si>
  <si>
    <t xml:space="preserve">Removed</t>
  </si>
  <si>
    <t xml:space="preserve">"RPC-style" describes a solution, not a requirement, so asking it makes the answer circular. REST handles business actions too.</t>
  </si>
  <si>
    <t xml:space="preserve">21 Caching</t>
  </si>
  <si>
    <t xml:space="preserve">Standard HTTP caching: gRPC S → F (always POST), GraphQL S → N (needs GET requests). Application-managed and no caching merged: same ratings.</t>
  </si>
  <si>
    <t xml:space="preserve">New</t>
  </si>
  <si>
    <t xml:space="preserve">Browser consumers weigh against gRPC, and external participants rule out both GraphQL and gRPC.</t>
  </si>
  <si>
    <t xml:space="preserve">Per-operation audit at the gateway matters in a regulated environment, and GraphQL's single endpoint hides operations.</t>
  </si>
  <si>
    <t xml:space="preserve">Layout</t>
  </si>
  <si>
    <t xml:space="preserve">15 numbered requirements in five sections</t>
  </si>
  <si>
    <t xml:space="preserve">Scope, functional, consumer context, non-functional, constraints. GraphQL and gRPC recommendations are starred and shown in a green Recommended style box.</t>
  </si>
  <si>
    <t xml:space="preserve">Review: questions and feedback on draft v0.4</t>
  </si>
  <si>
    <t xml:space="preserve">Type in the bordered white cells and add your name to each row, so comments can be followed up.</t>
  </si>
  <si>
    <t xml:space="preserve">1. Questions to confirm</t>
  </si>
  <si>
    <t xml:space="preserve">#</t>
  </si>
  <si>
    <t xml:space="preserve">Question</t>
  </si>
  <si>
    <t xml:space="preserve">Who should answer</t>
  </si>
  <si>
    <t xml:space="preserve">Answer</t>
  </si>
  <si>
    <t xml:space="preserve">Answered by</t>
  </si>
  <si>
    <t xml:space="preserve">Is "REST by default; GraphQL and gRPC only for specific use cases" written Euroclear policy? If so, where should the matrix link to it?</t>
  </si>
  <si>
    <t xml:space="preserve">Architecture governance</t>
  </si>
  <si>
    <t xml:space="preserve">Is "GraphQL is query-only" policy, or a choice made for this matrix?</t>
  </si>
  <si>
    <t xml:space="preserve">Platform status shows GraphQL and gRPC as not yet supported. Is there a planned uplift, and who keeps the status up to date?</t>
  </si>
  <si>
    <t xml:space="preserve">API platform team</t>
  </si>
  <si>
    <t xml:space="preserve">Which market or regulatory standards apply to participant-facing APIs? This sets requirement 13.</t>
  </si>
  <si>
    <t xml:space="preserve">Do audit or operational-resilience requirements need per-operation visibility at the gateway? This sets requirement 12.</t>
  </si>
  <si>
    <t xml:space="preserve">Security, Compliance</t>
  </si>
  <si>
    <t xml:space="preserve">Are the GraphQL and gRPC conditions on the How to use tab the right ones? What's missing?</t>
  </si>
  <si>
    <t xml:space="preserve">Security, API platform team</t>
  </si>
  <si>
    <t xml:space="preserve">Where are the event-driven framework and the data-mobility assessment documented? The matrix should link to them.</t>
  </si>
  <si>
    <t xml:space="preserve">External participants now rule out GraphQL and gRPC (F), and up to 5 consumers rules out GraphQL. Do you agree, or should either stay an N that can be justified?</t>
  </si>
  <si>
    <t xml:space="preserve">Architecture governance, Security</t>
  </si>
  <si>
    <t xml:space="preserve">Are the thresholds right: 5 and 100 consumers, about a minute of waiting, about 100 items per page?</t>
  </si>
  <si>
    <t xml:space="preserve">All reviewers</t>
  </si>
  <si>
    <t xml:space="preserve">Is the two-step guide enough for most cases? Is any check in step 3 missing or unnecessary, or should any step 4 item block instead?</t>
  </si>
  <si>
    <t xml:space="preserve">2. Test it on real decisions</t>
  </si>
  <si>
    <t xml:space="preserve">Run one or two recent API decisions through the Decision guide and record whether the outcome matches what was chosen. Where it doesn't, either the guide or the original decision needs a closer look.</t>
  </si>
  <si>
    <t xml:space="preserve">Reviewer</t>
  </si>
  <si>
    <t xml:space="preserve">Style chosen</t>
  </si>
  <si>
    <t xml:space="preserve">Matrix recommendation</t>
  </si>
  <si>
    <t xml:space="preserve">Match?</t>
  </si>
  <si>
    <t xml:space="preserve">Comment</t>
  </si>
  <si>
    <t xml:space="preserve">Example</t>
  </si>
  <si>
    <t xml:space="preserve">Settlement status lookup for an internal reconciliation service</t>
  </si>
  <si>
    <t xml:space="preserve">Matched. No N on REST to justify.</t>
  </si>
  <si>
    <t xml:space="preserve">3. Other comments</t>
  </si>
  <si>
    <t xml:space="preserve">Anything unclear, wrong or missing. Name the tab and requirement number so it can be traced.</t>
  </si>
  <si>
    <t xml:space="preserve">Tab and requirement</t>
  </si>
  <si>
    <t xml:space="preserve">Suggested change</t>
  </si>
</sst>
</file>

<file path=xl/styles.xml><?xml version="1.0" encoding="utf-8"?>
<styleSheet xmlns="http://schemas.openxmlformats.org/spreadsheetml/2006/main">
  <numFmts count="2">
    <numFmt numFmtId="164" formatCode="General"/>
    <numFmt numFmtId="165" formatCode="General"/>
  </numFmts>
  <fonts count="25">
    <font>
      <sz val="11"/>
      <color theme="1"/>
      <name val="Calibri"/>
      <family val="2"/>
      <charset val="1"/>
    </font>
    <font>
      <sz val="10"/>
      <name val="Arial"/>
      <family val="0"/>
    </font>
    <font>
      <sz val="10"/>
      <name val="Arial"/>
      <family val="0"/>
    </font>
    <font>
      <sz val="10"/>
      <name val="Arial"/>
      <family val="0"/>
    </font>
    <font>
      <b val="true"/>
      <sz val="13"/>
      <color rgb="FF000000"/>
      <name val="Arial"/>
      <family val="0"/>
      <charset val="1"/>
    </font>
    <font>
      <b val="true"/>
      <sz val="10.5"/>
      <color rgb="FF006100"/>
      <name val="Arial"/>
      <family val="0"/>
      <charset val="1"/>
    </font>
    <font>
      <i val="true"/>
      <sz val="10"/>
      <color rgb="FF404040"/>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0"/>
      <color rgb="FF1F4E79"/>
      <name val="Arial"/>
      <family val="0"/>
      <charset val="1"/>
    </font>
    <font>
      <b val="true"/>
      <sz val="10"/>
      <color rgb="FF7F4F00"/>
      <name val="Arial"/>
      <family val="0"/>
      <charset val="1"/>
    </font>
    <font>
      <b val="true"/>
      <sz val="10"/>
      <color rgb="FF006100"/>
      <name val="Arial"/>
      <family val="0"/>
      <charset val="1"/>
    </font>
    <font>
      <b val="true"/>
      <sz val="12"/>
      <color rgb="FF000000"/>
      <name val="Arial"/>
      <family val="0"/>
      <charset val="1"/>
    </font>
    <font>
      <b val="true"/>
      <sz val="14"/>
      <color rgb="FF000000"/>
      <name val="Arial"/>
      <family val="0"/>
      <charset val="1"/>
    </font>
    <font>
      <b val="true"/>
      <sz val="11"/>
      <color rgb="FF000000"/>
      <name val="Arial"/>
      <family val="0"/>
      <charset val="1"/>
    </font>
    <font>
      <b val="true"/>
      <sz val="10.5"/>
      <color rgb="FF000000"/>
      <name val="Arial"/>
      <family val="0"/>
      <charset val="1"/>
    </font>
    <font>
      <b val="true"/>
      <u val="single"/>
      <sz val="11"/>
      <color rgb="FF000000"/>
      <name val="Arial"/>
      <family val="0"/>
      <charset val="1"/>
    </font>
    <font>
      <b val="true"/>
      <sz val="10"/>
      <color rgb="FFFFFFFF"/>
      <name val="Arial"/>
      <family val="0"/>
      <charset val="1"/>
    </font>
    <font>
      <b val="true"/>
      <sz val="10"/>
      <color rgb="FF7F7F7F"/>
      <name val="Arial"/>
      <family val="0"/>
      <charset val="1"/>
    </font>
    <font>
      <sz val="10"/>
      <name val="Arial"/>
      <family val="0"/>
      <charset val="1"/>
    </font>
    <font>
      <i val="true"/>
      <sz val="10"/>
      <color rgb="FFFFFFFF"/>
      <name val="Arial"/>
      <family val="0"/>
      <charset val="1"/>
    </font>
    <font>
      <sz val="10"/>
      <color rgb="FF404040"/>
      <name val="Arial"/>
      <family val="0"/>
      <charset val="1"/>
    </font>
    <font>
      <sz val="10"/>
      <color rgb="FF1F4E79"/>
      <name val="Arial"/>
      <family val="0"/>
      <charset val="1"/>
    </font>
    <font>
      <i val="true"/>
      <sz val="10"/>
      <color rgb="FF7F7F7F"/>
      <name val="Arial"/>
      <family val="0"/>
      <charset val="1"/>
    </font>
  </fonts>
  <fills count="15">
    <fill>
      <patternFill patternType="none"/>
    </fill>
    <fill>
      <patternFill patternType="gray125"/>
    </fill>
    <fill>
      <patternFill patternType="solid">
        <fgColor rgb="FFE2F0D9"/>
        <bgColor rgb="FFF2F2F2"/>
      </patternFill>
    </fill>
    <fill>
      <patternFill patternType="solid">
        <fgColor rgb="FF404040"/>
        <bgColor rgb="FF262626"/>
      </patternFill>
    </fill>
    <fill>
      <patternFill patternType="solid">
        <fgColor rgb="FFD9D9D9"/>
        <bgColor rgb="FFE2F0D9"/>
      </patternFill>
    </fill>
    <fill>
      <patternFill patternType="solid">
        <fgColor rgb="FFFFFFFF"/>
        <bgColor rgb="FFF2F2F2"/>
      </patternFill>
    </fill>
    <fill>
      <patternFill patternType="solid">
        <fgColor rgb="FFFFE699"/>
        <bgColor rgb="FFFFF2CC"/>
      </patternFill>
    </fill>
    <fill>
      <patternFill patternType="solid">
        <fgColor rgb="FFF2F2F2"/>
        <bgColor rgb="FFE2F0D9"/>
      </patternFill>
    </fill>
    <fill>
      <patternFill patternType="solid">
        <fgColor rgb="FFFFF2CC"/>
        <bgColor rgb="FFF2F2F2"/>
      </patternFill>
    </fill>
    <fill>
      <patternFill patternType="solid">
        <fgColor rgb="FF00B050"/>
        <bgColor rgb="FF008080"/>
      </patternFill>
    </fill>
    <fill>
      <patternFill patternType="solid">
        <fgColor rgb="FF000000"/>
        <bgColor rgb="FF262626"/>
      </patternFill>
    </fill>
    <fill>
      <patternFill patternType="solid">
        <fgColor rgb="FF0070C0"/>
        <bgColor rgb="FF008080"/>
      </patternFill>
    </fill>
    <fill>
      <patternFill patternType="solid">
        <fgColor rgb="FFFF0000"/>
        <bgColor rgb="FF800000"/>
      </patternFill>
    </fill>
    <fill>
      <patternFill patternType="solid">
        <fgColor rgb="FFFFC000"/>
        <bgColor rgb="FFFF9900"/>
      </patternFill>
    </fill>
    <fill>
      <patternFill patternType="solid">
        <fgColor rgb="FF7F7F7F"/>
        <bgColor rgb="FF666699"/>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style="medium">
        <color rgb="FF00B050"/>
      </left>
      <right/>
      <top style="medium">
        <color rgb="FF00B050"/>
      </top>
      <bottom style="medium">
        <color rgb="FF00B050"/>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11" fillId="6"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12" fillId="2" borderId="3" xfId="0" applyFont="true" applyBorder="true" applyAlignment="true" applyProtection="false">
      <alignment horizontal="general" vertical="top" textRotation="0" wrapText="true" indent="0" shrinkToFit="false"/>
      <protection locked="true" hidden="false"/>
    </xf>
    <xf numFmtId="164" fontId="9" fillId="2" borderId="4"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15" fillId="8" borderId="0" xfId="0" applyFont="true" applyBorder="true" applyAlignment="true" applyProtection="false">
      <alignment horizontal="left" vertical="center" textRotation="0" wrapText="true" indent="0" shrinkToFit="false"/>
      <protection locked="true" hidden="false"/>
    </xf>
    <xf numFmtId="164" fontId="7" fillId="9"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left" vertical="center" textRotation="0" wrapText="true" indent="0" shrinkToFit="false"/>
      <protection locked="true" hidden="false"/>
    </xf>
    <xf numFmtId="164" fontId="12" fillId="2" borderId="0" xfId="0" applyFont="true" applyBorder="true" applyAlignment="true" applyProtection="false">
      <alignment horizontal="left" vertical="center" textRotation="0" wrapText="true" indent="0" shrinkToFit="false"/>
      <protection locked="true" hidden="false"/>
    </xf>
    <xf numFmtId="164" fontId="15" fillId="0" borderId="5" xfId="0" applyFont="true" applyBorder="true" applyAlignment="true" applyProtection="false">
      <alignment horizontal="left" vertical="center" textRotation="0" wrapText="true" indent="0" shrinkToFit="false"/>
      <protection locked="true" hidden="false"/>
    </xf>
    <xf numFmtId="164" fontId="7" fillId="1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8" fillId="3" borderId="0" xfId="0" applyFont="true" applyBorder="true" applyAlignment="true" applyProtection="false">
      <alignment horizontal="left"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8" fillId="9"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8" fillId="11" borderId="1" xfId="0" applyFont="true" applyBorder="true" applyAlignment="true" applyProtection="false">
      <alignment horizontal="center"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true" indent="0" shrinkToFit="false"/>
      <protection locked="true" hidden="false"/>
    </xf>
    <xf numFmtId="164" fontId="18"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18" fillId="14" borderId="1" xfId="0" applyFont="true" applyBorder="true" applyAlignment="true" applyProtection="false">
      <alignment horizontal="center" vertical="center" textRotation="0" wrapText="true" indent="0" shrinkToFit="false"/>
      <protection locked="true" hidden="false"/>
    </xf>
    <xf numFmtId="164" fontId="18" fillId="12" borderId="1" xfId="0" applyFont="true" applyBorder="true" applyAlignment="true" applyProtection="false">
      <alignment horizontal="left" vertical="center" textRotation="0" wrapText="true" indent="0" shrinkToFit="false"/>
      <protection locked="true" hidden="false"/>
    </xf>
    <xf numFmtId="164" fontId="18"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21" fillId="3" borderId="0" xfId="0" applyFont="true" applyBorder="fals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4" fillId="7" borderId="0"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8" fillId="10" borderId="0" xfId="0" applyFont="true" applyBorder="true" applyAlignment="true" applyProtection="false">
      <alignment horizontal="left" vertical="center" textRotation="0" wrapText="true" indent="0" shrinkToFit="false"/>
      <protection locked="true" hidden="false"/>
    </xf>
    <xf numFmtId="164" fontId="18" fillId="10"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8" fillId="9" borderId="0" xfId="0" applyFont="true" applyBorder="false" applyAlignment="true" applyProtection="false">
      <alignment horizontal="center" vertical="center" textRotation="0" wrapText="true" indent="0" shrinkToFit="false"/>
      <protection locked="true" hidden="false"/>
    </xf>
    <xf numFmtId="164" fontId="18" fillId="9"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18" fillId="11" borderId="0" xfId="0" applyFont="true" applyBorder="false" applyAlignment="true" applyProtection="false">
      <alignment horizontal="center" vertical="center" textRotation="0" wrapText="true" indent="0" shrinkToFit="false"/>
      <protection locked="true" hidden="false"/>
    </xf>
    <xf numFmtId="164" fontId="18" fillId="11" borderId="0" xfId="0" applyFont="true" applyBorder="false" applyAlignment="true" applyProtection="false">
      <alignment horizontal="left" vertical="center" textRotation="0" wrapText="true" indent="0" shrinkToFit="false"/>
      <protection locked="true" hidden="false"/>
    </xf>
    <xf numFmtId="164" fontId="8" fillId="13" borderId="0" xfId="0" applyFont="true" applyBorder="false" applyAlignment="true" applyProtection="false">
      <alignment horizontal="center" vertical="center" textRotation="0" wrapText="true" indent="0" shrinkToFit="false"/>
      <protection locked="true" hidden="false"/>
    </xf>
    <xf numFmtId="164" fontId="8" fillId="13" borderId="0" xfId="0" applyFont="true" applyBorder="false" applyAlignment="true" applyProtection="false">
      <alignment horizontal="left" vertical="center" textRotation="0" wrapText="true" indent="0" shrinkToFit="false"/>
      <protection locked="true" hidden="false"/>
    </xf>
    <xf numFmtId="164" fontId="18" fillId="12" borderId="0" xfId="0" applyFont="true" applyBorder="false" applyAlignment="true" applyProtection="false">
      <alignment horizontal="center" vertical="center" textRotation="0" wrapText="true" indent="0" shrinkToFit="false"/>
      <protection locked="true" hidden="false"/>
    </xf>
    <xf numFmtId="164" fontId="18" fillId="1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23" fillId="0" borderId="2"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b val="1"/>
        <color rgb="FF000000"/>
      </font>
      <fill>
        <patternFill>
          <bgColor rgb="FFFFC000"/>
        </patternFill>
      </fill>
    </dxf>
    <dxf>
      <font>
        <b val="1"/>
        <color rgb="FFFFFFFF"/>
      </font>
      <fill>
        <patternFill>
          <bgColor rgb="FF00B050"/>
        </patternFill>
      </fill>
    </dxf>
    <dxf>
      <font>
        <b val="1"/>
        <color rgb="FFFFFFFF"/>
      </font>
      <fill>
        <patternFill>
          <bgColor rgb="FF262626"/>
        </patternFill>
      </fill>
    </dxf>
    <dxf>
      <font>
        <b val="1"/>
        <color rgb="FFFFFFFF"/>
      </font>
      <fill>
        <patternFill>
          <bgColor rgb="FF7F7F7F"/>
        </patternFill>
      </fill>
    </dxf>
    <dxf>
      <font>
        <b val="1"/>
        <color rgb="FF006100"/>
      </font>
      <fill>
        <patternFill>
          <bgColor rgb="FFE2F0D9"/>
        </patternFill>
      </fill>
    </dxf>
    <dxf>
      <font>
        <color rgb="FFA6A6A6"/>
      </font>
      <fill>
        <patternFill>
          <bgColor rgb="FFF2F2F2"/>
        </patternFill>
      </fill>
    </dxf>
    <dxf>
      <font>
        <b val="1"/>
        <color rgb="FFFFFFFF"/>
      </font>
      <fill>
        <patternFill>
          <bgColor rgb="FFFF0000"/>
        </patternFill>
      </fill>
    </dxf>
    <dxf>
      <font>
        <b val="1"/>
      </font>
      <fill>
        <patternFill>
          <bgColor rgb="FFFFF2CC"/>
        </patternFill>
      </fill>
    </dxf>
    <dxf>
      <fill>
        <patternFill>
          <bgColor rgb="FFFFF2CC"/>
        </patternFill>
      </fill>
    </dxf>
    <dxf>
      <font>
        <b val="1"/>
        <color rgb="FFFFFFFF"/>
      </font>
      <fill>
        <patternFill>
          <bgColor rgb="FF0070C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F2F2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E2F0D9"/>
      <rgbColor rgb="FFFFE699"/>
      <rgbColor rgb="FF99CCFF"/>
      <rgbColor rgb="FFFF99CC"/>
      <rgbColor rgb="FFCC99FF"/>
      <rgbColor rgb="FFFFCC99"/>
      <rgbColor rgb="FF3366FF"/>
      <rgbColor rgb="FF33CCCC"/>
      <rgbColor rgb="FF99CC00"/>
      <rgbColor rgb="FFFFC000"/>
      <rgbColor rgb="FFFF9900"/>
      <rgbColor rgb="FFFF6600"/>
      <rgbColor rgb="FF666699"/>
      <rgbColor rgb="FFA6A6A6"/>
      <rgbColor rgb="FF003366"/>
      <rgbColor rgb="FF00B050"/>
      <rgbColor rgb="FF003300"/>
      <rgbColor rgb="FF404040"/>
      <rgbColor rgb="FF7F4F00"/>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30"/>
    <col collapsed="false" customWidth="true" hidden="false" outlineLevel="0" max="4" min="4" style="0" width="74"/>
    <col collapsed="false" customWidth="true" hidden="true" outlineLevel="0" max="8" min="8" style="0" width="60"/>
  </cols>
  <sheetData>
    <row r="1" customFormat="false" ht="30" hidden="false" customHeight="true" outlineLevel="0" collapsed="false">
      <c r="A1" s="1" t="s">
        <v>0</v>
      </c>
      <c r="B1" s="1"/>
      <c r="C1" s="1"/>
      <c r="D1" s="1"/>
      <c r="H1" s="2" t="s">
        <v>1</v>
      </c>
    </row>
    <row r="2" customFormat="false" ht="21.75" hidden="false" customHeight="true" outlineLevel="0" collapsed="false">
      <c r="A2" s="3" t="s">
        <v>2</v>
      </c>
      <c r="B2" s="3"/>
      <c r="C2" s="3"/>
      <c r="D2" s="3"/>
      <c r="H2" s="2" t="s">
        <v>3</v>
      </c>
    </row>
    <row r="3" customFormat="false" ht="18" hidden="false" customHeight="true" outlineLevel="0" collapsed="false">
      <c r="A3" s="4" t="s">
        <v>4</v>
      </c>
      <c r="B3" s="4"/>
      <c r="C3" s="4"/>
      <c r="D3" s="4"/>
      <c r="H3" s="2" t="s">
        <v>5</v>
      </c>
    </row>
    <row r="4" customFormat="false" ht="15" hidden="false" customHeight="false" outlineLevel="0" collapsed="false">
      <c r="H4" s="0" t="s">
        <v>6</v>
      </c>
    </row>
    <row r="5" customFormat="false" ht="19.5" hidden="false" customHeight="true" outlineLevel="0" collapsed="false">
      <c r="A5" s="5" t="s">
        <v>7</v>
      </c>
      <c r="B5" s="5"/>
      <c r="C5" s="5"/>
      <c r="D5" s="5"/>
      <c r="H5" s="2" t="s">
        <v>8</v>
      </c>
    </row>
    <row r="6" customFormat="false" ht="19.5" hidden="false" customHeight="true" outlineLevel="0" collapsed="false">
      <c r="A6" s="6" t="s">
        <v>9</v>
      </c>
      <c r="B6" s="7" t="s">
        <v>10</v>
      </c>
      <c r="C6" s="8" t="s">
        <v>11</v>
      </c>
      <c r="D6" s="9"/>
      <c r="H6" s="2" t="s">
        <v>12</v>
      </c>
    </row>
    <row r="7" customFormat="false" ht="19.5" hidden="false" customHeight="true" outlineLevel="0" collapsed="false">
      <c r="A7" s="6" t="s">
        <v>13</v>
      </c>
      <c r="B7" s="7" t="s">
        <v>14</v>
      </c>
      <c r="C7" s="8" t="s">
        <v>11</v>
      </c>
      <c r="D7" s="9"/>
      <c r="H7" s="2" t="s">
        <v>15</v>
      </c>
    </row>
    <row r="8" customFormat="false" ht="30" hidden="false" customHeight="true" outlineLevel="0" collapsed="false">
      <c r="A8" s="10" t="str">
        <f aca="false">IF(AND($C$6="Supported",$C$7="Supported"),"Both styles are supported on the API platform.","Platform uplift needed: the API platform doesn't support these styles yet. If the guide recommends one, the build has to wait for the uplift; agree timing with the API platform team.")</f>
        <v>Platform uplift needed: the API platform doesn't support these styles yet. If the guide recommends one, the build has to wait for the uplift; agree timing with the API platform team.</v>
      </c>
      <c r="B8" s="10"/>
      <c r="C8" s="10"/>
      <c r="D8" s="10"/>
      <c r="H8" s="2" t="s">
        <v>16</v>
      </c>
    </row>
    <row r="9" customFormat="false" ht="15" hidden="false" customHeight="false" outlineLevel="0" collapsed="false">
      <c r="H9" s="0" t="s">
        <v>11</v>
      </c>
    </row>
    <row r="10" customFormat="false" ht="19.5" hidden="false" customHeight="true" outlineLevel="0" collapsed="false">
      <c r="A10" s="5" t="s">
        <v>17</v>
      </c>
      <c r="B10" s="5"/>
      <c r="C10" s="5"/>
      <c r="D10" s="5"/>
      <c r="H10" s="2" t="s">
        <v>18</v>
      </c>
    </row>
    <row r="11" customFormat="false" ht="30" hidden="false" customHeight="true" outlineLevel="0" collapsed="false">
      <c r="A11" s="6" t="s">
        <v>19</v>
      </c>
      <c r="B11" s="7" t="s">
        <v>20</v>
      </c>
      <c r="C11" s="8"/>
      <c r="D11" s="11" t="s">
        <v>21</v>
      </c>
    </row>
    <row r="13" customFormat="false" ht="19.5" hidden="false" customHeight="true" outlineLevel="0" collapsed="false">
      <c r="A13" s="5" t="s">
        <v>22</v>
      </c>
      <c r="B13" s="5"/>
      <c r="C13" s="5"/>
      <c r="D13" s="5"/>
    </row>
    <row r="14" customFormat="false" ht="30" hidden="false" customHeight="true" outlineLevel="0" collapsed="false">
      <c r="A14" s="6" t="s">
        <v>23</v>
      </c>
      <c r="B14" s="7" t="s">
        <v>24</v>
      </c>
      <c r="C14" s="8"/>
      <c r="D14" s="11" t="s">
        <v>25</v>
      </c>
    </row>
    <row r="15" customFormat="false" ht="41.25" hidden="false" customHeight="true" outlineLevel="0" collapsed="false">
      <c r="A15" s="12" t="s">
        <v>26</v>
      </c>
      <c r="B15" s="13" t="s">
        <v>27</v>
      </c>
      <c r="C15" s="13"/>
      <c r="D15" s="13"/>
    </row>
    <row r="16" customFormat="false" ht="41.25" hidden="false" customHeight="true" outlineLevel="0" collapsed="false">
      <c r="A16" s="12" t="s">
        <v>28</v>
      </c>
      <c r="B16" s="13" t="s">
        <v>29</v>
      </c>
      <c r="C16" s="13"/>
      <c r="D16" s="13"/>
    </row>
    <row r="18" customFormat="false" ht="19.5" hidden="false" customHeight="true" outlineLevel="0" collapsed="false">
      <c r="A18" s="5" t="s">
        <v>30</v>
      </c>
      <c r="B18" s="5"/>
      <c r="C18" s="5"/>
      <c r="D18" s="5"/>
    </row>
    <row r="19" customFormat="false" ht="33.75" hidden="false" customHeight="true" outlineLevel="0" collapsed="false">
      <c r="A19" s="14" t="s">
        <v>31</v>
      </c>
      <c r="B19" s="14"/>
      <c r="C19" s="15" t="str">
        <f aca="false">IF($C$11="","?",IF($C$11=$H$2,"Out of scope",IF($C$11=$H$3,"Out of scope",IF($C$14="","?",IF($C$14=$H$4,"REST",IF($C$14=$H$5,IF((($C$23="")+($C$24="")+($C$25="")+($C$26="")+($C$27=""))&gt;0,"? ("&amp;(($C$23="")+($C$24="")+($C$25="")+($C$26="")+($C$27=""))&amp;" checks left)",IF((($C$23="No")+($C$24="No")+($C$25="No")+($C$26="No")+($C$27="No"))&gt;0,"REST","★ GraphQL")),IF($C$14=$H$6,IF((($C$30="")+($C$31="")+($C$32="")+($C$33="")+($C$34=""))&gt;0,"? ("&amp;(($C$30="")+($C$31="")+($C$32="")+($C$33="")+($C$34=""))&amp;" checks left)",IF((($C$30="No")+($C$31="No")+($C$32="No")+($C$33="No")+($C$34="No"))&gt;0,"REST","★ gRPC")),"?")))))))</f>
        <v>?</v>
      </c>
      <c r="D19" s="16" t="s">
        <v>32</v>
      </c>
    </row>
    <row r="20" customFormat="false" ht="33.75" hidden="false" customHeight="true" outlineLevel="0" collapsed="false">
      <c r="A20" s="17" t="s">
        <v>33</v>
      </c>
      <c r="B20" s="18" t="str">
        <f aca="false">IF($C$11="","Start with step 1.",IF($C$11=$H$2,"OUT OF SCOPE: use the event-driven framework.",IF($C$11=$H$3,"OUT OF SCOPE: use the data-mobility assessment.",IF($C$14="","Answer step 2.",IF($C$14=$H$4,"RECOMMENDED: REST (default). No further checks: apply the REST design guardrails at the bottom of this tab.",IF($C$14=$H$5,IF((($C$23="")+($C$24="")+($C$25="")+($C$26="")+($C$27=""))&gt;0,"GraphQL use case picked: answer the "&amp;(($C$23="")+($C$24="")+($C$25="")+($C$26="")+($C$27=""))&amp;" remaining check(s) in step 3a.",IF((($C$23="No")+($C$24="No")+($C$25="No")+($C$26="No")+($C$27="No"))&gt;0,"RECOMMENDED: REST. GraphQL doesn't fit: "&amp;MID(IF($C$23="No",", 5 or fewer consumers, or their needs don't really differ","")&amp;IF($C$24="No",", the data isn't navigated as connected data","")&amp;IF($C$25="No",", changes or actions would go through GraphQL","")&amp;IF($C$26="No",", external or unknown consumers","")&amp;IF($C$27="No",", standard HTTP caching is needed",""),3,1000)&amp;". Record this in the decision record.","RECOMMENDED: ★ GraphQL for read-only queries; keep changes in REST."&amp;IF($C$6&lt;&gt;"Supported"," PLATFORM UPLIFT NEEDED: GraphQL isn't supported on the API platform yet, so agree timing with the API platform team before you build.","")&amp;" Record the REST assessment and the step 4 items in the decision record, and meet the GraphQL conditions on the Guidance tab.")),IF($C$14=$H$6,IF((($C$30="")+($C$31="")+($C$32="")+($C$33="")+($C$34=""))&gt;0,"gRPC use case picked: answer the "&amp;(($C$30="")+($C$31="")+($C$32="")+($C$33="")+($C$34=""))&amp;" remaining check(s) in step 3b.",IF((($C$30="No")+($C$31="No")+($C$32="No")+($C$33="No")+($C$34="No"))&gt;0,"RECOMMENDED: REST. gRPC doesn't fit: "&amp;MID(IF($C$30="No",", browser or external consumers","")&amp;IF($C$31="No",", files or free-form message parts","")&amp;IF($C$32="No",", a consumer or hop without HTTP/2 or generated clients","")&amp;IF($C$33="No",", the Protobuf contract can't be governed jointly","")&amp;IF($C$34="No",", standard HTTP caching is needed",""),3,1000)&amp;". Record this in the decision record.","RECOMMENDED: ★ gRPC for unary service-to-service calls."&amp;IF($C$7&lt;&gt;"Supported"," PLATFORM UPLIFT NEEDED: gRPC isn't supported on the API platform yet, so agree timing with the API platform team before you build.","")&amp;" Attach the measurements or benchmark, record the step 4 items in the decision record, and meet the gRPC conditions on the Guidance tab.")),"")))))))</f>
        <v>Start with step 1.</v>
      </c>
      <c r="C20" s="18"/>
      <c r="D20" s="18"/>
    </row>
    <row r="22" customFormat="false" ht="19.5" hidden="false" customHeight="true" outlineLevel="0" collapsed="false">
      <c r="A22" s="19" t="s">
        <v>34</v>
      </c>
      <c r="B22" s="19"/>
      <c r="C22" s="19"/>
      <c r="D22" s="19"/>
    </row>
    <row r="23" customFormat="false" ht="41.25" hidden="false" customHeight="true" outlineLevel="0" collapsed="false">
      <c r="A23" s="6" t="s">
        <v>35</v>
      </c>
      <c r="B23" s="7" t="s">
        <v>36</v>
      </c>
      <c r="C23" s="8"/>
      <c r="D23" s="11"/>
    </row>
    <row r="24" customFormat="false" ht="41.25" hidden="false" customHeight="true" outlineLevel="0" collapsed="false">
      <c r="A24" s="6" t="s">
        <v>37</v>
      </c>
      <c r="B24" s="7" t="s">
        <v>38</v>
      </c>
      <c r="C24" s="8"/>
      <c r="D24" s="11"/>
    </row>
    <row r="25" customFormat="false" ht="30" hidden="false" customHeight="true" outlineLevel="0" collapsed="false">
      <c r="A25" s="6" t="s">
        <v>39</v>
      </c>
      <c r="B25" s="7" t="s">
        <v>40</v>
      </c>
      <c r="C25" s="8"/>
      <c r="D25" s="11"/>
    </row>
    <row r="26" customFormat="false" ht="30" hidden="false" customHeight="true" outlineLevel="0" collapsed="false">
      <c r="A26" s="6" t="s">
        <v>41</v>
      </c>
      <c r="B26" s="7" t="s">
        <v>42</v>
      </c>
      <c r="C26" s="8"/>
      <c r="D26" s="11"/>
    </row>
    <row r="27" customFormat="false" ht="30" hidden="false" customHeight="true" outlineLevel="0" collapsed="false">
      <c r="A27" s="6" t="s">
        <v>43</v>
      </c>
      <c r="B27" s="7" t="s">
        <v>44</v>
      </c>
      <c r="C27" s="8"/>
      <c r="D27" s="11"/>
    </row>
    <row r="29" customFormat="false" ht="19.5" hidden="false" customHeight="true" outlineLevel="0" collapsed="false">
      <c r="A29" s="19" t="s">
        <v>45</v>
      </c>
      <c r="B29" s="19"/>
      <c r="C29" s="19"/>
      <c r="D29" s="19"/>
    </row>
    <row r="30" customFormat="false" ht="30" hidden="false" customHeight="true" outlineLevel="0" collapsed="false">
      <c r="A30" s="6" t="s">
        <v>46</v>
      </c>
      <c r="B30" s="7" t="s">
        <v>47</v>
      </c>
      <c r="C30" s="8"/>
      <c r="D30" s="11"/>
    </row>
    <row r="31" customFormat="false" ht="30" hidden="false" customHeight="true" outlineLevel="0" collapsed="false">
      <c r="A31" s="6" t="s">
        <v>48</v>
      </c>
      <c r="B31" s="7" t="s">
        <v>49</v>
      </c>
      <c r="C31" s="8"/>
      <c r="D31" s="11"/>
    </row>
    <row r="32" customFormat="false" ht="30" hidden="false" customHeight="true" outlineLevel="0" collapsed="false">
      <c r="A32" s="6" t="s">
        <v>50</v>
      </c>
      <c r="B32" s="7" t="s">
        <v>51</v>
      </c>
      <c r="C32" s="8"/>
      <c r="D32" s="11"/>
    </row>
    <row r="33" customFormat="false" ht="41.25" hidden="false" customHeight="true" outlineLevel="0" collapsed="false">
      <c r="A33" s="6" t="s">
        <v>52</v>
      </c>
      <c r="B33" s="7" t="s">
        <v>53</v>
      </c>
      <c r="C33" s="8"/>
      <c r="D33" s="11"/>
    </row>
    <row r="34" customFormat="false" ht="30" hidden="false" customHeight="true" outlineLevel="0" collapsed="false">
      <c r="A34" s="6" t="s">
        <v>43</v>
      </c>
      <c r="B34" s="7" t="s">
        <v>54</v>
      </c>
      <c r="C34" s="8"/>
      <c r="D34" s="11"/>
    </row>
    <row r="36" customFormat="false" ht="19.5" hidden="false" customHeight="true" outlineLevel="0" collapsed="false">
      <c r="A36" s="5" t="s">
        <v>55</v>
      </c>
      <c r="B36" s="5"/>
      <c r="C36" s="5"/>
      <c r="D36" s="5"/>
    </row>
    <row r="37" customFormat="false" ht="15.75" hidden="false" customHeight="true" outlineLevel="0" collapsed="false">
      <c r="A37" s="20" t="s">
        <v>56</v>
      </c>
      <c r="B37" s="21" t="s">
        <v>57</v>
      </c>
      <c r="C37" s="21"/>
      <c r="D37" s="21"/>
    </row>
    <row r="38" customFormat="false" ht="15.75" hidden="false" customHeight="true" outlineLevel="0" collapsed="false">
      <c r="A38" s="20"/>
      <c r="B38" s="21" t="s">
        <v>58</v>
      </c>
      <c r="C38" s="21"/>
      <c r="D38" s="21"/>
    </row>
    <row r="39" customFormat="false" ht="15.75" hidden="false" customHeight="true" outlineLevel="0" collapsed="false">
      <c r="A39" s="20"/>
      <c r="B39" s="21" t="s">
        <v>59</v>
      </c>
      <c r="C39" s="21"/>
      <c r="D39" s="21"/>
    </row>
    <row r="40" customFormat="false" ht="15.75" hidden="false" customHeight="true" outlineLevel="0" collapsed="false">
      <c r="A40" s="20"/>
      <c r="B40" s="21" t="s">
        <v>60</v>
      </c>
      <c r="C40" s="21"/>
      <c r="D40" s="21"/>
    </row>
    <row r="41" customFormat="false" ht="15.75" hidden="false" customHeight="true" outlineLevel="0" collapsed="false">
      <c r="A41" s="20"/>
      <c r="B41" s="21" t="s">
        <v>61</v>
      </c>
      <c r="C41" s="21"/>
      <c r="D41" s="21"/>
    </row>
    <row r="42" customFormat="false" ht="15.75" hidden="false" customHeight="true" outlineLevel="0" collapsed="false">
      <c r="A42" s="20"/>
      <c r="B42" s="21" t="s">
        <v>62</v>
      </c>
      <c r="C42" s="21"/>
      <c r="D42" s="21"/>
    </row>
    <row r="43" customFormat="false" ht="15.75" hidden="false" customHeight="true" outlineLevel="0" collapsed="false">
      <c r="A43" s="20" t="s">
        <v>63</v>
      </c>
      <c r="B43" s="21" t="s">
        <v>64</v>
      </c>
      <c r="C43" s="21"/>
      <c r="D43" s="21"/>
    </row>
    <row r="44" customFormat="false" ht="15.75" hidden="false" customHeight="true" outlineLevel="0" collapsed="false">
      <c r="A44" s="20"/>
      <c r="B44" s="21" t="s">
        <v>58</v>
      </c>
      <c r="C44" s="21"/>
      <c r="D44" s="21"/>
    </row>
    <row r="45" customFormat="false" ht="15.75" hidden="false" customHeight="true" outlineLevel="0" collapsed="false">
      <c r="A45" s="20"/>
      <c r="B45" s="21" t="s">
        <v>65</v>
      </c>
      <c r="C45" s="21"/>
      <c r="D45" s="21"/>
    </row>
    <row r="46" customFormat="false" ht="15.75" hidden="false" customHeight="true" outlineLevel="0" collapsed="false">
      <c r="A46" s="20"/>
      <c r="B46" s="21" t="s">
        <v>66</v>
      </c>
      <c r="C46" s="21"/>
      <c r="D46" s="21"/>
    </row>
    <row r="47" customFormat="false" ht="15.75" hidden="false" customHeight="true" outlineLevel="0" collapsed="false">
      <c r="A47" s="20"/>
      <c r="B47" s="21" t="s">
        <v>67</v>
      </c>
      <c r="C47" s="21"/>
      <c r="D47" s="21"/>
    </row>
    <row r="48" customFormat="false" ht="15.75" hidden="false" customHeight="true" outlineLevel="0" collapsed="false">
      <c r="A48" s="20"/>
      <c r="B48" s="21" t="s">
        <v>68</v>
      </c>
      <c r="C48" s="21"/>
      <c r="D48" s="21"/>
    </row>
    <row r="50" customFormat="false" ht="19.5" hidden="false" customHeight="true" outlineLevel="0" collapsed="false">
      <c r="A50" s="5" t="s">
        <v>69</v>
      </c>
      <c r="B50" s="5"/>
      <c r="C50" s="5"/>
      <c r="D50" s="5"/>
    </row>
    <row r="51" customFormat="false" ht="15.75" hidden="false" customHeight="true" outlineLevel="0" collapsed="false">
      <c r="B51" s="21" t="s">
        <v>70</v>
      </c>
      <c r="C51" s="21"/>
      <c r="D51" s="21"/>
    </row>
    <row r="52" customFormat="false" ht="15.75" hidden="false" customHeight="true" outlineLevel="0" collapsed="false">
      <c r="B52" s="21" t="s">
        <v>71</v>
      </c>
      <c r="C52" s="21"/>
      <c r="D52" s="21"/>
    </row>
    <row r="53" customFormat="false" ht="15.75" hidden="false" customHeight="true" outlineLevel="0" collapsed="false">
      <c r="B53" s="21" t="s">
        <v>72</v>
      </c>
      <c r="C53" s="21"/>
      <c r="D53" s="21"/>
    </row>
    <row r="54" customFormat="false" ht="15.75" hidden="false" customHeight="true" outlineLevel="0" collapsed="false">
      <c r="B54" s="21" t="s">
        <v>73</v>
      </c>
      <c r="C54" s="21"/>
      <c r="D54" s="21"/>
    </row>
    <row r="55" customFormat="false" ht="15.75" hidden="false" customHeight="true" outlineLevel="0" collapsed="false">
      <c r="B55" s="21" t="s">
        <v>74</v>
      </c>
      <c r="C55" s="21"/>
      <c r="D55" s="21"/>
    </row>
    <row r="56" customFormat="false" ht="15.75" hidden="false" customHeight="true" outlineLevel="0" collapsed="false">
      <c r="B56" s="21" t="s">
        <v>75</v>
      </c>
      <c r="C56" s="21"/>
      <c r="D56" s="21"/>
    </row>
    <row r="57" customFormat="false" ht="15.75" hidden="false" customHeight="true" outlineLevel="0" collapsed="false">
      <c r="B57" s="21" t="s">
        <v>76</v>
      </c>
      <c r="C57" s="21"/>
      <c r="D57" s="21"/>
    </row>
    <row r="58" customFormat="false" ht="15.75" hidden="false" customHeight="true" outlineLevel="0" collapsed="false">
      <c r="B58" s="21" t="s">
        <v>77</v>
      </c>
      <c r="C58" s="21"/>
      <c r="D58" s="21"/>
    </row>
    <row r="59" customFormat="false" ht="15.75" hidden="false" customHeight="true" outlineLevel="0" collapsed="false">
      <c r="B59" s="21" t="s">
        <v>78</v>
      </c>
      <c r="C59" s="21"/>
      <c r="D59" s="21"/>
    </row>
    <row r="60" customFormat="false" ht="15.75" hidden="false" customHeight="true" outlineLevel="0" collapsed="false">
      <c r="B60" s="21" t="s">
        <v>79</v>
      </c>
      <c r="C60" s="21"/>
      <c r="D60" s="21"/>
    </row>
    <row r="61" customFormat="false" ht="15.75" hidden="false" customHeight="true" outlineLevel="0" collapsed="false">
      <c r="B61" s="21" t="s">
        <v>80</v>
      </c>
      <c r="C61" s="21"/>
      <c r="D61" s="21"/>
    </row>
    <row r="62" customFormat="false" ht="15.75" hidden="false" customHeight="true" outlineLevel="0" collapsed="false">
      <c r="B62" s="21" t="s">
        <v>81</v>
      </c>
      <c r="C62" s="21"/>
      <c r="D62" s="21"/>
    </row>
  </sheetData>
  <mergeCells count="40">
    <mergeCell ref="A1:D1"/>
    <mergeCell ref="A2:D2"/>
    <mergeCell ref="A3:D3"/>
    <mergeCell ref="A5:D5"/>
    <mergeCell ref="A8:D8"/>
    <mergeCell ref="A10:D10"/>
    <mergeCell ref="A13:D13"/>
    <mergeCell ref="B15:D15"/>
    <mergeCell ref="B16:D16"/>
    <mergeCell ref="A18:D18"/>
    <mergeCell ref="A19:B19"/>
    <mergeCell ref="B20:D20"/>
    <mergeCell ref="A22:D22"/>
    <mergeCell ref="A29:D29"/>
    <mergeCell ref="A36:D36"/>
    <mergeCell ref="B37:D37"/>
    <mergeCell ref="B38:D38"/>
    <mergeCell ref="B39:D39"/>
    <mergeCell ref="B40:D40"/>
    <mergeCell ref="B41:D41"/>
    <mergeCell ref="B42:D42"/>
    <mergeCell ref="B43:D43"/>
    <mergeCell ref="B44:D44"/>
    <mergeCell ref="B45:D45"/>
    <mergeCell ref="B46:D46"/>
    <mergeCell ref="B47:D47"/>
    <mergeCell ref="B48:D48"/>
    <mergeCell ref="A50:D50"/>
    <mergeCell ref="B51:D51"/>
    <mergeCell ref="B52:D52"/>
    <mergeCell ref="B53:D53"/>
    <mergeCell ref="B54:D54"/>
    <mergeCell ref="B55:D55"/>
    <mergeCell ref="B56:D56"/>
    <mergeCell ref="B57:D57"/>
    <mergeCell ref="B58:D58"/>
    <mergeCell ref="B59:D59"/>
    <mergeCell ref="B60:D60"/>
    <mergeCell ref="B61:D61"/>
    <mergeCell ref="B62:D62"/>
  </mergeCells>
  <conditionalFormatting sqref="C6">
    <cfRule type="cellIs" priority="2" operator="equal" aboveAverage="0" equalAverage="0" bottom="0" percent="0" rank="0" text="" dxfId="0">
      <formula>"Not yet supported"</formula>
    </cfRule>
    <cfRule type="cellIs" priority="3" operator="equal" aboveAverage="0" equalAverage="0" bottom="0" percent="0" rank="0" text="" dxfId="1">
      <formula>"Supported"</formula>
    </cfRule>
  </conditionalFormatting>
  <conditionalFormatting sqref="C7">
    <cfRule type="cellIs" priority="4" operator="equal" aboveAverage="0" equalAverage="0" bottom="0" percent="0" rank="0" text="" dxfId="0">
      <formula>"Not yet supported"</formula>
    </cfRule>
    <cfRule type="cellIs" priority="5" operator="equal" aboveAverage="0" equalAverage="0" bottom="0" percent="0" rank="0" text="" dxfId="1">
      <formula>"Supported"</formula>
    </cfRule>
  </conditionalFormatting>
  <conditionalFormatting sqref="C19">
    <cfRule type="expression" priority="6" aboveAverage="0" equalAverage="0" bottom="0" percent="0" rank="0" text="" dxfId="1">
      <formula>ISNUMBER(SEARCH("★",C19))</formula>
    </cfRule>
    <cfRule type="expression" priority="7" aboveAverage="0" equalAverage="0" bottom="0" percent="0" rank="0" text="" dxfId="2">
      <formula>C19="REST"</formula>
    </cfRule>
    <cfRule type="expression" priority="8" aboveAverage="0" equalAverage="0" bottom="0" percent="0" rank="0" text="" dxfId="3">
      <formula>OR(C19="Out of scope",C19="Assess separately")</formula>
    </cfRule>
  </conditionalFormatting>
  <conditionalFormatting sqref="B20:D20">
    <cfRule type="expression" priority="9" aboveAverage="0" equalAverage="0" bottom="0" percent="0" rank="0" text="" dxfId="4">
      <formula>ISNUMBER(SEARCH("RECOMMENDED: ★",B20))</formula>
    </cfRule>
  </conditionalFormatting>
  <conditionalFormatting sqref="A23:D27">
    <cfRule type="expression" priority="10" aboveAverage="0" equalAverage="0" bottom="0" percent="0" rank="0" text="" dxfId="5">
      <formula>$C$14&lt;&gt;$H$5</formula>
    </cfRule>
  </conditionalFormatting>
  <conditionalFormatting sqref="A30:D34">
    <cfRule type="expression" priority="11" aboveAverage="0" equalAverage="0" bottom="0" percent="0" rank="0" text="" dxfId="5">
      <formula>$C$14&lt;&gt;$H$6</formula>
    </cfRule>
  </conditionalFormatting>
  <conditionalFormatting sqref="C23:C34">
    <cfRule type="cellIs" priority="12" operator="equal" aboveAverage="0" equalAverage="0" bottom="0" percent="0" rank="0" text="" dxfId="6">
      <formula>"No"</formula>
    </cfRule>
  </conditionalFormatting>
  <dataValidations count="14">
    <dataValidation allowBlank="true" error="Pick one of the listed options." errorStyle="stop" errorTitle="Not an option" operator="between" showDropDown="false" showErrorMessage="true" showInputMessage="false" sqref="C6" type="list">
      <formula1>$H$9:$H$10</formula1>
      <formula2>0</formula2>
    </dataValidation>
    <dataValidation allowBlank="true" error="Pick one of the listed options." errorStyle="stop" errorTitle="Not an option" operator="between" showDropDown="false" showErrorMessage="true" showInputMessage="false" sqref="C7" type="list">
      <formula1>$H$9:$H$10</formula1>
      <formula2>0</formula2>
    </dataValidation>
    <dataValidation allowBlank="true" error="Pick one of the listed options." errorStyle="stop" errorTitle="Not an option" operator="between" showDropDown="false" showErrorMessage="true" showInputMessage="false" sqref="C11" type="list">
      <formula1>$H$1:$H$3</formula1>
      <formula2>0</formula2>
    </dataValidation>
    <dataValidation allowBlank="true" error="Pick one of the listed options." errorStyle="stop" errorTitle="Not an option" operator="between" showDropDown="false" showErrorMessage="true" showInputMessage="false" sqref="C14" type="list">
      <formula1>$H$4:$H$6</formula1>
      <formula2>0</formula2>
    </dataValidation>
    <dataValidation allowBlank="true" error="Pick one of the listed options." errorStyle="stop" errorTitle="Not an option" operator="between" showDropDown="false" showErrorMessage="true" showInputMessage="false" sqref="C23" type="list">
      <formula1>$H$7:$H$8</formula1>
      <formula2>0</formula2>
    </dataValidation>
    <dataValidation allowBlank="true" error="Pick one of the listed options." errorStyle="stop" errorTitle="Not an option" operator="between" showDropDown="false" showErrorMessage="true" showInputMessage="false" sqref="C24" type="list">
      <formula1>$H$7:$H$8</formula1>
      <formula2>0</formula2>
    </dataValidation>
    <dataValidation allowBlank="true" error="Pick one of the listed options." errorStyle="stop" errorTitle="Not an option" operator="between" showDropDown="false" showErrorMessage="true" showInputMessage="false" sqref="C25" type="list">
      <formula1>$H$7:$H$8</formula1>
      <formula2>0</formula2>
    </dataValidation>
    <dataValidation allowBlank="true" error="Pick one of the listed options." errorStyle="stop" errorTitle="Not an option" operator="between" showDropDown="false" showErrorMessage="true" showInputMessage="false" sqref="C26" type="list">
      <formula1>$H$7:$H$8</formula1>
      <formula2>0</formula2>
    </dataValidation>
    <dataValidation allowBlank="true" error="Pick one of the listed options." errorStyle="stop" errorTitle="Not an option" operator="between" showDropDown="false" showErrorMessage="true" showInputMessage="false" sqref="C27" type="list">
      <formula1>$H$7:$H$8</formula1>
      <formula2>0</formula2>
    </dataValidation>
    <dataValidation allowBlank="true" error="Pick one of the listed options." errorStyle="stop" errorTitle="Not an option" operator="between" showDropDown="false" showErrorMessage="true" showInputMessage="false" sqref="C30" type="list">
      <formula1>$H$7:$H$8</formula1>
      <formula2>0</formula2>
    </dataValidation>
    <dataValidation allowBlank="true" error="Pick one of the listed options." errorStyle="stop" errorTitle="Not an option" operator="between" showDropDown="false" showErrorMessage="true" showInputMessage="false" sqref="C31" type="list">
      <formula1>$H$7:$H$8</formula1>
      <formula2>0</formula2>
    </dataValidation>
    <dataValidation allowBlank="true" error="Pick one of the listed options." errorStyle="stop" errorTitle="Not an option" operator="between" showDropDown="false" showErrorMessage="true" showInputMessage="false" sqref="C32" type="list">
      <formula1>$H$7:$H$8</formula1>
      <formula2>0</formula2>
    </dataValidation>
    <dataValidation allowBlank="true" error="Pick one of the listed options." errorStyle="stop" errorTitle="Not an option" operator="between" showDropDown="false" showErrorMessage="true" showInputMessage="false" sqref="C33" type="list">
      <formula1>$H$7:$H$8</formula1>
      <formula2>0</formula2>
    </dataValidation>
    <dataValidation allowBlank="true" error="Pick one of the listed options." errorStyle="stop" errorTitle="Not an option" operator="between" showDropDown="false" showErrorMessage="true" showInputMessage="false" sqref="C34" type="list">
      <formula1>$H$7:$H$8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5" min="3" style="0" width="10"/>
    <col collapsed="false" customWidth="true" hidden="false" outlineLevel="0" max="6" min="6" style="0" width="2"/>
    <col collapsed="false" customWidth="true" hidden="false" outlineLevel="0" max="7" min="7" style="0" width="5"/>
    <col collapsed="false" customWidth="true" hidden="false" outlineLevel="0" max="8" min="8" style="0" width="18"/>
    <col collapsed="false" customWidth="true" hidden="false" outlineLevel="0" max="9" min="9" style="0" width="92"/>
  </cols>
  <sheetData>
    <row r="1" customFormat="false" ht="30" hidden="false" customHeight="true" outlineLevel="0" collapsed="false">
      <c r="A1" s="14" t="s">
        <v>82</v>
      </c>
      <c r="B1" s="14"/>
      <c r="C1" s="14"/>
      <c r="D1" s="14"/>
      <c r="E1" s="14"/>
      <c r="F1" s="14"/>
      <c r="G1" s="14"/>
      <c r="H1" s="14"/>
      <c r="I1" s="14"/>
    </row>
    <row r="2" customFormat="false" ht="18" hidden="false" customHeight="true" outlineLevel="0" collapsed="false">
      <c r="A2" s="22" t="s">
        <v>83</v>
      </c>
      <c r="B2" s="22"/>
      <c r="C2" s="22"/>
      <c r="D2" s="22"/>
      <c r="E2" s="22"/>
      <c r="F2" s="22"/>
      <c r="G2" s="22"/>
      <c r="H2" s="22"/>
      <c r="I2" s="22"/>
    </row>
    <row r="3" customFormat="false" ht="18" hidden="false" customHeight="true" outlineLevel="0" collapsed="false">
      <c r="A3" s="23" t="s">
        <v>84</v>
      </c>
      <c r="B3" s="23"/>
      <c r="C3" s="23"/>
      <c r="D3" s="23"/>
      <c r="E3" s="23"/>
      <c r="F3" s="23"/>
      <c r="G3" s="23"/>
      <c r="H3" s="23"/>
      <c r="I3" s="23"/>
    </row>
    <row r="4" customFormat="false" ht="18" hidden="false" customHeight="true" outlineLevel="0" collapsed="false">
      <c r="A4" s="23" t="s">
        <v>85</v>
      </c>
      <c r="B4" s="23"/>
      <c r="C4" s="23"/>
      <c r="D4" s="23"/>
      <c r="E4" s="23"/>
      <c r="F4" s="23"/>
      <c r="G4" s="23"/>
      <c r="H4" s="23"/>
      <c r="I4" s="23"/>
    </row>
    <row r="6" customFormat="false" ht="21.75" hidden="false" customHeight="true" outlineLevel="0" collapsed="false">
      <c r="A6" s="24" t="s">
        <v>86</v>
      </c>
      <c r="B6" s="24" t="s">
        <v>87</v>
      </c>
      <c r="C6" s="25" t="s">
        <v>88</v>
      </c>
      <c r="D6" s="25" t="s">
        <v>9</v>
      </c>
      <c r="E6" s="25" t="s">
        <v>13</v>
      </c>
      <c r="G6" s="26" t="s">
        <v>89</v>
      </c>
      <c r="H6" s="26"/>
      <c r="I6" s="24" t="s">
        <v>90</v>
      </c>
    </row>
    <row r="7" customFormat="false" ht="18" hidden="false" customHeight="true" outlineLevel="0" collapsed="false">
      <c r="A7" s="27" t="s">
        <v>91</v>
      </c>
      <c r="B7" s="27"/>
      <c r="C7" s="27"/>
      <c r="D7" s="27"/>
      <c r="E7" s="27"/>
      <c r="F7" s="27"/>
      <c r="G7" s="27"/>
      <c r="H7" s="27"/>
      <c r="I7" s="27"/>
    </row>
    <row r="8" customFormat="false" ht="19.5" hidden="false" customHeight="true" outlineLevel="0" collapsed="false">
      <c r="A8" s="6" t="s">
        <v>92</v>
      </c>
      <c r="B8" s="8"/>
      <c r="C8" s="28" t="str">
        <f aca="false">IF($B8="","?",IFERROR(INDEX(C$9:C$13,MATCH($B8,$B$9:$B$13,0)),"?"))</f>
        <v>?</v>
      </c>
      <c r="D8" s="28" t="str">
        <f aca="false">IF($B8="","?",IFERROR(INDEX(D$9:D$13,MATCH($B8,$B$9:$B$13,0)),"?"))</f>
        <v>?</v>
      </c>
      <c r="E8" s="28" t="str">
        <f aca="false">IF($B8="","?",IFERROR(INDEX(E$9:E$13,MATCH($B8,$B$9:$B$13,0)),"?"))</f>
        <v>?</v>
      </c>
      <c r="F8" s="29"/>
      <c r="G8" s="30" t="s">
        <v>93</v>
      </c>
      <c r="H8" s="31" t="s">
        <v>94</v>
      </c>
      <c r="I8" s="11" t="s">
        <v>95</v>
      </c>
    </row>
    <row r="9" customFormat="false" ht="41.25" hidden="false" customHeight="true" outlineLevel="0" collapsed="false">
      <c r="A9" s="32"/>
      <c r="B9" s="33" t="s">
        <v>96</v>
      </c>
      <c r="C9" s="30" t="s">
        <v>93</v>
      </c>
      <c r="D9" s="34" t="s">
        <v>97</v>
      </c>
      <c r="E9" s="34" t="s">
        <v>97</v>
      </c>
      <c r="G9" s="34" t="s">
        <v>97</v>
      </c>
      <c r="H9" s="35" t="s">
        <v>18</v>
      </c>
      <c r="I9" s="33" t="s">
        <v>98</v>
      </c>
    </row>
    <row r="10" customFormat="false" ht="28.5" hidden="false" customHeight="true" outlineLevel="0" collapsed="false">
      <c r="A10" s="32"/>
      <c r="B10" s="33" t="s">
        <v>99</v>
      </c>
      <c r="C10" s="30" t="s">
        <v>93</v>
      </c>
      <c r="D10" s="36" t="s">
        <v>100</v>
      </c>
      <c r="E10" s="34" t="s">
        <v>97</v>
      </c>
      <c r="G10" s="37" t="s">
        <v>101</v>
      </c>
      <c r="H10" s="38" t="s">
        <v>102</v>
      </c>
      <c r="I10" s="33" t="s">
        <v>103</v>
      </c>
    </row>
    <row r="11" customFormat="false" ht="28.5" hidden="false" customHeight="true" outlineLevel="0" collapsed="false">
      <c r="A11" s="32"/>
      <c r="B11" s="33" t="s">
        <v>104</v>
      </c>
      <c r="C11" s="39" t="s">
        <v>105</v>
      </c>
      <c r="D11" s="39" t="s">
        <v>105</v>
      </c>
      <c r="E11" s="39" t="s">
        <v>105</v>
      </c>
      <c r="G11" s="36" t="s">
        <v>100</v>
      </c>
      <c r="H11" s="40" t="s">
        <v>106</v>
      </c>
      <c r="I11" s="33" t="s">
        <v>107</v>
      </c>
    </row>
    <row r="12" customFormat="false" ht="28.5" hidden="false" customHeight="true" outlineLevel="0" collapsed="false">
      <c r="A12" s="32"/>
      <c r="B12" s="33" t="s">
        <v>108</v>
      </c>
      <c r="C12" s="39" t="s">
        <v>105</v>
      </c>
      <c r="D12" s="39" t="s">
        <v>105</v>
      </c>
      <c r="E12" s="39" t="s">
        <v>105</v>
      </c>
      <c r="I12" s="33" t="s">
        <v>109</v>
      </c>
    </row>
    <row r="13" customFormat="false" ht="28.5" hidden="false" customHeight="true" outlineLevel="0" collapsed="false">
      <c r="A13" s="32"/>
      <c r="B13" s="33" t="s">
        <v>5</v>
      </c>
      <c r="C13" s="39" t="s">
        <v>105</v>
      </c>
      <c r="D13" s="39" t="s">
        <v>105</v>
      </c>
      <c r="E13" s="39" t="s">
        <v>105</v>
      </c>
      <c r="I13" s="33" t="s">
        <v>110</v>
      </c>
    </row>
    <row r="14" customFormat="false" ht="18" hidden="false" customHeight="true" outlineLevel="0" collapsed="false">
      <c r="A14" s="27" t="s">
        <v>111</v>
      </c>
      <c r="B14" s="27"/>
      <c r="C14" s="27"/>
      <c r="D14" s="27"/>
      <c r="E14" s="27"/>
      <c r="F14" s="27"/>
      <c r="G14" s="27"/>
      <c r="H14" s="27"/>
      <c r="I14" s="27"/>
    </row>
    <row r="15" customFormat="false" ht="19.5" hidden="false" customHeight="true" outlineLevel="0" collapsed="false">
      <c r="A15" s="6" t="s">
        <v>112</v>
      </c>
      <c r="B15" s="8"/>
      <c r="C15" s="28" t="str">
        <f aca="false">IF($B15="","?",IFERROR(INDEX(C$16:C$18,MATCH($B15,$B$16:$B$18,0)),"?"))</f>
        <v>?</v>
      </c>
      <c r="D15" s="28" t="str">
        <f aca="false">IF($B15="","?",IFERROR(INDEX(D$16:D$18,MATCH($B15,$B$16:$B$18,0)),"?"))</f>
        <v>?</v>
      </c>
      <c r="E15" s="28" t="str">
        <f aca="false">IF($B15="","?",IFERROR(INDEX(E$16:E$18,MATCH($B15,$B$16:$B$18,0)),"?"))</f>
        <v>?</v>
      </c>
      <c r="F15" s="29"/>
      <c r="G15" s="29"/>
      <c r="H15" s="29"/>
      <c r="I15" s="11" t="s">
        <v>113</v>
      </c>
    </row>
    <row r="16" customFormat="false" ht="15.75" hidden="false" customHeight="true" outlineLevel="0" collapsed="false">
      <c r="A16" s="32"/>
      <c r="B16" s="33" t="s">
        <v>114</v>
      </c>
      <c r="C16" s="30" t="s">
        <v>93</v>
      </c>
      <c r="D16" s="34" t="s">
        <v>97</v>
      </c>
      <c r="E16" s="34" t="s">
        <v>97</v>
      </c>
      <c r="I16" s="33" t="s">
        <v>115</v>
      </c>
    </row>
    <row r="17" customFormat="false" ht="41.25" hidden="false" customHeight="true" outlineLevel="0" collapsed="false">
      <c r="A17" s="32"/>
      <c r="B17" s="33" t="s">
        <v>116</v>
      </c>
      <c r="C17" s="30" t="s">
        <v>93</v>
      </c>
      <c r="D17" s="36" t="s">
        <v>100</v>
      </c>
      <c r="E17" s="34" t="s">
        <v>97</v>
      </c>
      <c r="I17" s="33" t="s">
        <v>117</v>
      </c>
    </row>
    <row r="18" customFormat="false" ht="28.5" hidden="false" customHeight="true" outlineLevel="0" collapsed="false">
      <c r="A18" s="32"/>
      <c r="B18" s="33" t="s">
        <v>118</v>
      </c>
      <c r="C18" s="30" t="s">
        <v>93</v>
      </c>
      <c r="D18" s="37" t="s">
        <v>101</v>
      </c>
      <c r="E18" s="34" t="s">
        <v>97</v>
      </c>
      <c r="I18" s="33" t="s">
        <v>119</v>
      </c>
    </row>
    <row r="19" customFormat="false" ht="28.5" hidden="false" customHeight="true" outlineLevel="0" collapsed="false">
      <c r="A19" s="6" t="s">
        <v>120</v>
      </c>
      <c r="B19" s="8"/>
      <c r="C19" s="28" t="str">
        <f aca="false">IF($B19="","?",IFERROR(INDEX(C$20:C$22,MATCH($B19,$B$20:$B$22,0)),"?"))</f>
        <v>?</v>
      </c>
      <c r="D19" s="28" t="str">
        <f aca="false">IF($B19="","?",IFERROR(INDEX(D$20:D$22,MATCH($B19,$B$20:$B$22,0)),"?"))</f>
        <v>?</v>
      </c>
      <c r="E19" s="28" t="str">
        <f aca="false">IF($B19="","?",IFERROR(INDEX(E$20:E$22,MATCH($B19,$B$20:$B$22,0)),"?"))</f>
        <v>?</v>
      </c>
      <c r="F19" s="29"/>
      <c r="G19" s="29"/>
      <c r="H19" s="29"/>
      <c r="I19" s="11" t="s">
        <v>121</v>
      </c>
    </row>
    <row r="20" customFormat="false" ht="28.5" hidden="false" customHeight="true" outlineLevel="0" collapsed="false">
      <c r="A20" s="32"/>
      <c r="B20" s="33" t="s">
        <v>122</v>
      </c>
      <c r="C20" s="30" t="s">
        <v>93</v>
      </c>
      <c r="D20" s="34" t="s">
        <v>97</v>
      </c>
      <c r="E20" s="34" t="s">
        <v>97</v>
      </c>
      <c r="I20" s="33" t="s">
        <v>123</v>
      </c>
    </row>
    <row r="21" customFormat="false" ht="28.5" hidden="false" customHeight="true" outlineLevel="0" collapsed="false">
      <c r="A21" s="32"/>
      <c r="B21" s="33" t="s">
        <v>124</v>
      </c>
      <c r="C21" s="30" t="s">
        <v>93</v>
      </c>
      <c r="D21" s="34" t="s">
        <v>97</v>
      </c>
      <c r="E21" s="34" t="s">
        <v>97</v>
      </c>
      <c r="I21" s="33" t="s">
        <v>125</v>
      </c>
    </row>
    <row r="22" customFormat="false" ht="66.75" hidden="false" customHeight="true" outlineLevel="0" collapsed="false">
      <c r="A22" s="32"/>
      <c r="B22" s="12" t="s">
        <v>126</v>
      </c>
      <c r="C22" s="37" t="s">
        <v>101</v>
      </c>
      <c r="D22" s="30" t="s">
        <v>93</v>
      </c>
      <c r="E22" s="37" t="s">
        <v>101</v>
      </c>
      <c r="I22" s="12" t="s">
        <v>127</v>
      </c>
    </row>
    <row r="23" customFormat="false" ht="19.5" hidden="false" customHeight="true" outlineLevel="0" collapsed="false">
      <c r="A23" s="6" t="s">
        <v>128</v>
      </c>
      <c r="B23" s="8"/>
      <c r="C23" s="28" t="str">
        <f aca="false">IF($B23="","?",IFERROR(INDEX(C$24:C$25,MATCH($B23,$B$24:$B$25,0)),"?"))</f>
        <v>?</v>
      </c>
      <c r="D23" s="28" t="str">
        <f aca="false">IF($B23="","?",IFERROR(INDEX(D$24:D$25,MATCH($B23,$B$24:$B$25,0)),"?"))</f>
        <v>?</v>
      </c>
      <c r="E23" s="28" t="str">
        <f aca="false">IF($B23="","?",IFERROR(INDEX(E$24:E$25,MATCH($B23,$B$24:$B$25,0)),"?"))</f>
        <v>?</v>
      </c>
      <c r="F23" s="29"/>
      <c r="G23" s="29"/>
      <c r="H23" s="29"/>
      <c r="I23" s="11" t="s">
        <v>129</v>
      </c>
    </row>
    <row r="24" customFormat="false" ht="28.5" hidden="false" customHeight="true" outlineLevel="0" collapsed="false">
      <c r="A24" s="32"/>
      <c r="B24" s="33" t="s">
        <v>130</v>
      </c>
      <c r="C24" s="30" t="s">
        <v>93</v>
      </c>
      <c r="D24" s="34" t="s">
        <v>97</v>
      </c>
      <c r="E24" s="34" t="s">
        <v>97</v>
      </c>
      <c r="I24" s="33" t="s">
        <v>131</v>
      </c>
    </row>
    <row r="25" customFormat="false" ht="28.5" hidden="false" customHeight="true" outlineLevel="0" collapsed="false">
      <c r="A25" s="32"/>
      <c r="B25" s="33" t="s">
        <v>132</v>
      </c>
      <c r="C25" s="30" t="s">
        <v>93</v>
      </c>
      <c r="D25" s="37" t="s">
        <v>101</v>
      </c>
      <c r="E25" s="37" t="s">
        <v>101</v>
      </c>
      <c r="I25" s="33" t="s">
        <v>133</v>
      </c>
    </row>
    <row r="26" customFormat="false" ht="19.5" hidden="false" customHeight="true" outlineLevel="0" collapsed="false">
      <c r="A26" s="6" t="s">
        <v>134</v>
      </c>
      <c r="B26" s="8"/>
      <c r="C26" s="28" t="str">
        <f aca="false">IF($B26="","?",IFERROR(INDEX(C$27:C$29,MATCH($B26,$B$27:$B$29,0)),"?"))</f>
        <v>?</v>
      </c>
      <c r="D26" s="28" t="str">
        <f aca="false">IF($B26="","?",IFERROR(INDEX(D$27:D$29,MATCH($B26,$B$27:$B$29,0)),"?"))</f>
        <v>?</v>
      </c>
      <c r="E26" s="28" t="str">
        <f aca="false">IF($B26="","?",IFERROR(INDEX(E$27:E$29,MATCH($B26,$B$27:$B$29,0)),"?"))</f>
        <v>?</v>
      </c>
      <c r="F26" s="29"/>
      <c r="G26" s="29"/>
      <c r="H26" s="29"/>
      <c r="I26" s="11" t="s">
        <v>135</v>
      </c>
    </row>
    <row r="27" customFormat="false" ht="28.5" hidden="false" customHeight="true" outlineLevel="0" collapsed="false">
      <c r="A27" s="32"/>
      <c r="B27" s="33" t="s">
        <v>136</v>
      </c>
      <c r="C27" s="30" t="s">
        <v>93</v>
      </c>
      <c r="D27" s="34" t="s">
        <v>97</v>
      </c>
      <c r="E27" s="34" t="s">
        <v>97</v>
      </c>
      <c r="I27" s="33" t="s">
        <v>137</v>
      </c>
    </row>
    <row r="28" customFormat="false" ht="28.5" hidden="false" customHeight="true" outlineLevel="0" collapsed="false">
      <c r="A28" s="32"/>
      <c r="B28" s="33" t="s">
        <v>138</v>
      </c>
      <c r="C28" s="30" t="s">
        <v>93</v>
      </c>
      <c r="D28" s="37" t="s">
        <v>101</v>
      </c>
      <c r="E28" s="34" t="s">
        <v>97</v>
      </c>
      <c r="I28" s="33" t="s">
        <v>139</v>
      </c>
    </row>
    <row r="29" customFormat="false" ht="28.5" hidden="false" customHeight="true" outlineLevel="0" collapsed="false">
      <c r="A29" s="32"/>
      <c r="B29" s="33" t="s">
        <v>140</v>
      </c>
      <c r="C29" s="30" t="s">
        <v>93</v>
      </c>
      <c r="D29" s="37" t="s">
        <v>101</v>
      </c>
      <c r="E29" s="37" t="s">
        <v>101</v>
      </c>
      <c r="I29" s="33" t="s">
        <v>141</v>
      </c>
    </row>
    <row r="30" customFormat="false" ht="18" hidden="false" customHeight="true" outlineLevel="0" collapsed="false">
      <c r="A30" s="27" t="s">
        <v>142</v>
      </c>
      <c r="B30" s="27"/>
      <c r="C30" s="27"/>
      <c r="D30" s="27"/>
      <c r="E30" s="27"/>
      <c r="F30" s="27"/>
      <c r="G30" s="27"/>
      <c r="H30" s="27"/>
      <c r="I30" s="27"/>
    </row>
    <row r="31" customFormat="false" ht="19.5" hidden="false" customHeight="true" outlineLevel="0" collapsed="false">
      <c r="A31" s="6" t="s">
        <v>143</v>
      </c>
      <c r="B31" s="8"/>
      <c r="C31" s="28" t="str">
        <f aca="false">IF($B31="","?",IFERROR(INDEX(C$32:C$34,MATCH($B31,$B$32:$B$34,0)),"?"))</f>
        <v>?</v>
      </c>
      <c r="D31" s="28" t="str">
        <f aca="false">IF($B31="","?",IFERROR(INDEX(D$32:D$34,MATCH($B31,$B$32:$B$34,0)),"?"))</f>
        <v>?</v>
      </c>
      <c r="E31" s="28" t="str">
        <f aca="false">IF($B31="","?",IFERROR(INDEX(E$32:E$34,MATCH($B31,$B$32:$B$34,0)),"?"))</f>
        <v>?</v>
      </c>
      <c r="F31" s="29"/>
      <c r="G31" s="29"/>
      <c r="H31" s="29"/>
      <c r="I31" s="11" t="s">
        <v>144</v>
      </c>
    </row>
    <row r="32" customFormat="false" ht="28.5" hidden="false" customHeight="true" outlineLevel="0" collapsed="false">
      <c r="A32" s="32"/>
      <c r="B32" s="33" t="s">
        <v>145</v>
      </c>
      <c r="C32" s="30" t="s">
        <v>93</v>
      </c>
      <c r="D32" s="34" t="s">
        <v>97</v>
      </c>
      <c r="E32" s="34" t="s">
        <v>97</v>
      </c>
      <c r="I32" s="33" t="s">
        <v>146</v>
      </c>
    </row>
    <row r="33" customFormat="false" ht="28.5" hidden="false" customHeight="true" outlineLevel="0" collapsed="false">
      <c r="A33" s="32"/>
      <c r="B33" s="33" t="s">
        <v>147</v>
      </c>
      <c r="C33" s="30" t="s">
        <v>93</v>
      </c>
      <c r="D33" s="34" t="s">
        <v>97</v>
      </c>
      <c r="E33" s="37" t="s">
        <v>101</v>
      </c>
      <c r="I33" s="33" t="s">
        <v>148</v>
      </c>
    </row>
    <row r="34" customFormat="false" ht="41.25" hidden="false" customHeight="true" outlineLevel="0" collapsed="false">
      <c r="A34" s="32"/>
      <c r="B34" s="33" t="s">
        <v>149</v>
      </c>
      <c r="C34" s="30" t="s">
        <v>93</v>
      </c>
      <c r="D34" s="36" t="s">
        <v>100</v>
      </c>
      <c r="E34" s="36" t="s">
        <v>100</v>
      </c>
      <c r="I34" s="33" t="s">
        <v>150</v>
      </c>
    </row>
    <row r="35" customFormat="false" ht="19.5" hidden="false" customHeight="true" outlineLevel="0" collapsed="false">
      <c r="A35" s="6" t="s">
        <v>151</v>
      </c>
      <c r="B35" s="8"/>
      <c r="C35" s="28" t="str">
        <f aca="false">IF($B35="","?",IFERROR(INDEX(C$36:C$38,MATCH($B35,$B$36:$B$38,0)),"?"))</f>
        <v>?</v>
      </c>
      <c r="D35" s="28" t="str">
        <f aca="false">IF($B35="","?",IFERROR(INDEX(D$36:D$38,MATCH($B35,$B$36:$B$38,0)),"?"))</f>
        <v>?</v>
      </c>
      <c r="E35" s="28" t="str">
        <f aca="false">IF($B35="","?",IFERROR(INDEX(E$36:E$38,MATCH($B35,$B$36:$B$38,0)),"?"))</f>
        <v>?</v>
      </c>
      <c r="F35" s="29"/>
      <c r="G35" s="29"/>
      <c r="H35" s="29"/>
      <c r="I35" s="11" t="s">
        <v>152</v>
      </c>
    </row>
    <row r="36" customFormat="false" ht="28.5" hidden="false" customHeight="true" outlineLevel="0" collapsed="false">
      <c r="A36" s="32"/>
      <c r="B36" s="33" t="s">
        <v>153</v>
      </c>
      <c r="C36" s="30" t="s">
        <v>93</v>
      </c>
      <c r="D36" s="36" t="s">
        <v>100</v>
      </c>
      <c r="E36" s="34" t="s">
        <v>97</v>
      </c>
      <c r="I36" s="33" t="s">
        <v>154</v>
      </c>
    </row>
    <row r="37" customFormat="false" ht="15.75" hidden="false" customHeight="true" outlineLevel="0" collapsed="false">
      <c r="A37" s="32"/>
      <c r="B37" s="33" t="s">
        <v>155</v>
      </c>
      <c r="C37" s="30" t="s">
        <v>93</v>
      </c>
      <c r="D37" s="34" t="s">
        <v>97</v>
      </c>
      <c r="E37" s="34" t="s">
        <v>97</v>
      </c>
      <c r="I37" s="33" t="s">
        <v>156</v>
      </c>
    </row>
    <row r="38" customFormat="false" ht="28.5" hidden="false" customHeight="true" outlineLevel="0" collapsed="false">
      <c r="A38" s="32"/>
      <c r="B38" s="33" t="s">
        <v>157</v>
      </c>
      <c r="C38" s="30" t="s">
        <v>93</v>
      </c>
      <c r="D38" s="34" t="s">
        <v>97</v>
      </c>
      <c r="E38" s="37" t="s">
        <v>101</v>
      </c>
      <c r="I38" s="33" t="s">
        <v>158</v>
      </c>
    </row>
    <row r="39" customFormat="false" ht="18" hidden="false" customHeight="true" outlineLevel="0" collapsed="false">
      <c r="A39" s="27" t="s">
        <v>159</v>
      </c>
      <c r="B39" s="27"/>
      <c r="C39" s="27"/>
      <c r="D39" s="27"/>
      <c r="E39" s="27"/>
      <c r="F39" s="27"/>
      <c r="G39" s="27"/>
      <c r="H39" s="27"/>
      <c r="I39" s="27"/>
    </row>
    <row r="40" customFormat="false" ht="28.5" hidden="false" customHeight="true" outlineLevel="0" collapsed="false">
      <c r="A40" s="6" t="s">
        <v>160</v>
      </c>
      <c r="B40" s="8"/>
      <c r="C40" s="28" t="str">
        <f aca="false">IF($B40="","?",IFERROR(INDEX(C$41:C$44,MATCH($B40,$B$41:$B$44,0)),"?"))</f>
        <v>?</v>
      </c>
      <c r="D40" s="28" t="str">
        <f aca="false">IF($B40="","?",IFERROR(INDEX(D$41:D$44,MATCH($B40,$B$41:$B$44,0)),"?"))</f>
        <v>?</v>
      </c>
      <c r="E40" s="28" t="str">
        <f aca="false">IF($B40="","?",IFERROR(INDEX(E$41:E$44,MATCH($B40,$B$41:$B$44,0)),"?"))</f>
        <v>?</v>
      </c>
      <c r="F40" s="29"/>
      <c r="G40" s="29"/>
      <c r="H40" s="29"/>
      <c r="I40" s="11" t="s">
        <v>161</v>
      </c>
    </row>
    <row r="41" customFormat="false" ht="28.5" hidden="false" customHeight="true" outlineLevel="0" collapsed="false">
      <c r="A41" s="32"/>
      <c r="B41" s="33" t="s">
        <v>162</v>
      </c>
      <c r="C41" s="30" t="s">
        <v>93</v>
      </c>
      <c r="D41" s="34" t="s">
        <v>97</v>
      </c>
      <c r="E41" s="37" t="s">
        <v>101</v>
      </c>
      <c r="I41" s="33" t="s">
        <v>163</v>
      </c>
    </row>
    <row r="42" customFormat="false" ht="28.5" hidden="false" customHeight="true" outlineLevel="0" collapsed="false">
      <c r="A42" s="32"/>
      <c r="B42" s="33" t="s">
        <v>164</v>
      </c>
      <c r="C42" s="30" t="s">
        <v>93</v>
      </c>
      <c r="D42" s="34" t="s">
        <v>97</v>
      </c>
      <c r="E42" s="37" t="s">
        <v>101</v>
      </c>
      <c r="I42" s="33" t="s">
        <v>165</v>
      </c>
    </row>
    <row r="43" customFormat="false" ht="66.75" hidden="false" customHeight="true" outlineLevel="0" collapsed="false">
      <c r="A43" s="32"/>
      <c r="B43" s="12" t="s">
        <v>166</v>
      </c>
      <c r="C43" s="37" t="s">
        <v>101</v>
      </c>
      <c r="D43" s="37" t="s">
        <v>101</v>
      </c>
      <c r="E43" s="30" t="s">
        <v>93</v>
      </c>
      <c r="I43" s="12" t="s">
        <v>167</v>
      </c>
    </row>
    <row r="44" customFormat="false" ht="54" hidden="false" customHeight="true" outlineLevel="0" collapsed="false">
      <c r="A44" s="32"/>
      <c r="B44" s="12" t="s">
        <v>168</v>
      </c>
      <c r="C44" s="37" t="s">
        <v>101</v>
      </c>
      <c r="D44" s="37" t="s">
        <v>101</v>
      </c>
      <c r="E44" s="30" t="s">
        <v>93</v>
      </c>
      <c r="I44" s="12" t="s">
        <v>169</v>
      </c>
    </row>
    <row r="45" customFormat="false" ht="19.5" hidden="false" customHeight="true" outlineLevel="0" collapsed="false">
      <c r="A45" s="6" t="s">
        <v>170</v>
      </c>
      <c r="B45" s="8"/>
      <c r="C45" s="28" t="str">
        <f aca="false">IF($B45="","?",IFERROR(INDEX(C$46:C$47,MATCH($B45,$B$46:$B$47,0)),"?"))</f>
        <v>?</v>
      </c>
      <c r="D45" s="28" t="str">
        <f aca="false">IF($B45="","?",IFERROR(INDEX(D$46:D$47,MATCH($B45,$B$46:$B$47,0)),"?"))</f>
        <v>?</v>
      </c>
      <c r="E45" s="28" t="str">
        <f aca="false">IF($B45="","?",IFERROR(INDEX(E$46:E$47,MATCH($B45,$B$46:$B$47,0)),"?"))</f>
        <v>?</v>
      </c>
      <c r="F45" s="29"/>
      <c r="G45" s="29"/>
      <c r="H45" s="29"/>
      <c r="I45" s="11" t="s">
        <v>171</v>
      </c>
    </row>
    <row r="46" customFormat="false" ht="28.5" hidden="false" customHeight="true" outlineLevel="0" collapsed="false">
      <c r="A46" s="32"/>
      <c r="B46" s="33" t="s">
        <v>172</v>
      </c>
      <c r="C46" s="30" t="s">
        <v>93</v>
      </c>
      <c r="D46" s="37" t="s">
        <v>101</v>
      </c>
      <c r="E46" s="36" t="s">
        <v>100</v>
      </c>
      <c r="I46" s="33" t="s">
        <v>173</v>
      </c>
    </row>
    <row r="47" customFormat="false" ht="28.5" hidden="false" customHeight="true" outlineLevel="0" collapsed="false">
      <c r="A47" s="32"/>
      <c r="B47" s="33" t="s">
        <v>174</v>
      </c>
      <c r="C47" s="30" t="s">
        <v>93</v>
      </c>
      <c r="D47" s="34" t="s">
        <v>97</v>
      </c>
      <c r="E47" s="34" t="s">
        <v>97</v>
      </c>
      <c r="I47" s="33" t="s">
        <v>175</v>
      </c>
    </row>
    <row r="48" customFormat="false" ht="19.5" hidden="false" customHeight="true" outlineLevel="0" collapsed="false">
      <c r="A48" s="6" t="s">
        <v>176</v>
      </c>
      <c r="B48" s="8"/>
      <c r="C48" s="28" t="str">
        <f aca="false">IF($B48="","?",IFERROR(INDEX(C$49:C$50,MATCH($B48,$B$49:$B$50,0)),"?"))</f>
        <v>?</v>
      </c>
      <c r="D48" s="28" t="str">
        <f aca="false">IF($B48="","?",IFERROR(INDEX(D$49:D$50,MATCH($B48,$B$49:$B$50,0)),"?"))</f>
        <v>?</v>
      </c>
      <c r="E48" s="28" t="str">
        <f aca="false">IF($B48="","?",IFERROR(INDEX(E$49:E$50,MATCH($B48,$B$49:$B$50,0)),"?"))</f>
        <v>?</v>
      </c>
      <c r="F48" s="29"/>
      <c r="G48" s="29"/>
      <c r="H48" s="29"/>
      <c r="I48" s="11" t="s">
        <v>177</v>
      </c>
    </row>
    <row r="49" customFormat="false" ht="15.75" hidden="false" customHeight="true" outlineLevel="0" collapsed="false">
      <c r="A49" s="32"/>
      <c r="B49" s="33" t="s">
        <v>178</v>
      </c>
      <c r="C49" s="30" t="s">
        <v>93</v>
      </c>
      <c r="D49" s="34" t="s">
        <v>97</v>
      </c>
      <c r="E49" s="34" t="s">
        <v>97</v>
      </c>
      <c r="I49" s="33" t="s">
        <v>179</v>
      </c>
    </row>
    <row r="50" customFormat="false" ht="41.25" hidden="false" customHeight="true" outlineLevel="0" collapsed="false">
      <c r="A50" s="32"/>
      <c r="B50" s="33" t="s">
        <v>180</v>
      </c>
      <c r="C50" s="30" t="s">
        <v>93</v>
      </c>
      <c r="D50" s="37" t="s">
        <v>101</v>
      </c>
      <c r="E50" s="34" t="s">
        <v>97</v>
      </c>
      <c r="I50" s="33" t="s">
        <v>181</v>
      </c>
    </row>
    <row r="51" customFormat="false" ht="28.5" hidden="false" customHeight="true" outlineLevel="0" collapsed="false">
      <c r="A51" s="6" t="s">
        <v>182</v>
      </c>
      <c r="B51" s="8"/>
      <c r="C51" s="28" t="str">
        <f aca="false">IF($B51="","?",IFERROR(INDEX(C$52:C$53,MATCH($B51,$B$52:$B$53,0)),"?"))</f>
        <v>?</v>
      </c>
      <c r="D51" s="28" t="str">
        <f aca="false">IF($B51="","?",IFERROR(INDEX(D$52:D$53,MATCH($B51,$B$52:$B$53,0)),"?"))</f>
        <v>?</v>
      </c>
      <c r="E51" s="28" t="str">
        <f aca="false">IF($B51="","?",IFERROR(INDEX(E$52:E$53,MATCH($B51,$B$52:$B$53,0)),"?"))</f>
        <v>?</v>
      </c>
      <c r="F51" s="29"/>
      <c r="G51" s="29"/>
      <c r="H51" s="29"/>
      <c r="I51" s="11" t="s">
        <v>183</v>
      </c>
    </row>
    <row r="52" customFormat="false" ht="28.5" hidden="false" customHeight="true" outlineLevel="0" collapsed="false">
      <c r="A52" s="32"/>
      <c r="B52" s="33" t="s">
        <v>184</v>
      </c>
      <c r="C52" s="30" t="s">
        <v>93</v>
      </c>
      <c r="D52" s="34" t="s">
        <v>97</v>
      </c>
      <c r="E52" s="34" t="s">
        <v>97</v>
      </c>
      <c r="I52" s="33" t="s">
        <v>185</v>
      </c>
    </row>
    <row r="53" customFormat="false" ht="28.5" hidden="false" customHeight="true" outlineLevel="0" collapsed="false">
      <c r="A53" s="32"/>
      <c r="B53" s="33" t="s">
        <v>186</v>
      </c>
      <c r="C53" s="30" t="s">
        <v>93</v>
      </c>
      <c r="D53" s="34" t="s">
        <v>97</v>
      </c>
      <c r="E53" s="36" t="s">
        <v>100</v>
      </c>
      <c r="I53" s="33" t="s">
        <v>187</v>
      </c>
    </row>
    <row r="54" customFormat="false" ht="19.5" hidden="false" customHeight="true" outlineLevel="0" collapsed="false">
      <c r="A54" s="6" t="s">
        <v>188</v>
      </c>
      <c r="B54" s="8"/>
      <c r="C54" s="28" t="str">
        <f aca="false">IF($B54="","?",IFERROR(INDEX(C$55:C$56,MATCH($B54,$B$55:$B$56,0)),"?"))</f>
        <v>?</v>
      </c>
      <c r="D54" s="28" t="str">
        <f aca="false">IF($B54="","?",IFERROR(INDEX(D$55:D$56,MATCH($B54,$B$55:$B$56,0)),"?"))</f>
        <v>?</v>
      </c>
      <c r="E54" s="28" t="str">
        <f aca="false">IF($B54="","?",IFERROR(INDEX(E$55:E$56,MATCH($B54,$B$55:$B$56,0)),"?"))</f>
        <v>?</v>
      </c>
      <c r="F54" s="29"/>
      <c r="G54" s="29"/>
      <c r="H54" s="29"/>
      <c r="I54" s="11" t="s">
        <v>189</v>
      </c>
    </row>
    <row r="55" customFormat="false" ht="15.75" hidden="false" customHeight="true" outlineLevel="0" collapsed="false">
      <c r="A55" s="32"/>
      <c r="B55" s="33" t="s">
        <v>190</v>
      </c>
      <c r="C55" s="30" t="s">
        <v>93</v>
      </c>
      <c r="D55" s="34" t="s">
        <v>97</v>
      </c>
      <c r="E55" s="34" t="s">
        <v>97</v>
      </c>
      <c r="I55" s="33" t="s">
        <v>191</v>
      </c>
    </row>
    <row r="56" customFormat="false" ht="41.25" hidden="false" customHeight="true" outlineLevel="0" collapsed="false">
      <c r="A56" s="32"/>
      <c r="B56" s="33" t="s">
        <v>192</v>
      </c>
      <c r="C56" s="30" t="s">
        <v>93</v>
      </c>
      <c r="D56" s="37" t="s">
        <v>101</v>
      </c>
      <c r="E56" s="34" t="s">
        <v>97</v>
      </c>
      <c r="I56" s="33" t="s">
        <v>193</v>
      </c>
    </row>
    <row r="57" customFormat="false" ht="18" hidden="false" customHeight="true" outlineLevel="0" collapsed="false">
      <c r="A57" s="27" t="s">
        <v>194</v>
      </c>
      <c r="B57" s="27"/>
      <c r="C57" s="27"/>
      <c r="D57" s="27"/>
      <c r="E57" s="27"/>
      <c r="F57" s="27"/>
      <c r="G57" s="27"/>
      <c r="H57" s="27"/>
      <c r="I57" s="27"/>
    </row>
    <row r="58" customFormat="false" ht="28.5" hidden="false" customHeight="true" outlineLevel="0" collapsed="false">
      <c r="A58" s="6" t="s">
        <v>195</v>
      </c>
      <c r="B58" s="8"/>
      <c r="C58" s="28" t="str">
        <f aca="false">IF($B58="","?",IFERROR(INDEX(C$59:C$60,MATCH($B58,$B$59:$B$60,0)),"?"))</f>
        <v>?</v>
      </c>
      <c r="D58" s="28" t="str">
        <f aca="false">IF($B58="","?",IFERROR(INDEX(D$59:D$60,MATCH($B58,$B$59:$B$60,0)),"?"))</f>
        <v>?</v>
      </c>
      <c r="E58" s="28" t="str">
        <f aca="false">IF($B58="","?",IFERROR(INDEX(E$59:E$60,MATCH($B58,$B$59:$B$60,0)),"?"))</f>
        <v>?</v>
      </c>
      <c r="F58" s="29"/>
      <c r="G58" s="29"/>
      <c r="H58" s="29"/>
      <c r="I58" s="11" t="s">
        <v>196</v>
      </c>
    </row>
    <row r="59" customFormat="false" ht="15.75" hidden="false" customHeight="true" outlineLevel="0" collapsed="false">
      <c r="A59" s="32"/>
      <c r="B59" s="33" t="s">
        <v>197</v>
      </c>
      <c r="C59" s="30" t="s">
        <v>93</v>
      </c>
      <c r="D59" s="34" t="s">
        <v>97</v>
      </c>
      <c r="E59" s="34" t="s">
        <v>97</v>
      </c>
      <c r="I59" s="33" t="s">
        <v>198</v>
      </c>
    </row>
    <row r="60" customFormat="false" ht="28.5" hidden="false" customHeight="true" outlineLevel="0" collapsed="false">
      <c r="A60" s="32"/>
      <c r="B60" s="33" t="s">
        <v>199</v>
      </c>
      <c r="C60" s="30" t="s">
        <v>93</v>
      </c>
      <c r="D60" s="36" t="s">
        <v>100</v>
      </c>
      <c r="E60" s="36" t="s">
        <v>100</v>
      </c>
      <c r="I60" s="33" t="s">
        <v>200</v>
      </c>
    </row>
    <row r="61" customFormat="false" ht="28.5" hidden="false" customHeight="true" outlineLevel="0" collapsed="false">
      <c r="A61" s="6" t="s">
        <v>201</v>
      </c>
      <c r="B61" s="8"/>
      <c r="C61" s="28" t="str">
        <f aca="false">IF($B61="","?",IFERROR(INDEX(C$62:C$65,MATCH($B61,$B$62:$B$65,0)),"?"))</f>
        <v>?</v>
      </c>
      <c r="D61" s="28" t="str">
        <f aca="false">IF($B61="","?",IFERROR(INDEX(D$62:D$65,MATCH($B61,$B$62:$B$65,0)),"?"))</f>
        <v>?</v>
      </c>
      <c r="E61" s="28" t="str">
        <f aca="false">IF($B61="","?",IFERROR(INDEX(E$62:E$65,MATCH($B61,$B$62:$B$65,0)),"?"))</f>
        <v>?</v>
      </c>
      <c r="F61" s="29"/>
      <c r="G61" s="29"/>
      <c r="H61" s="29"/>
      <c r="I61" s="11" t="s">
        <v>202</v>
      </c>
    </row>
    <row r="62" customFormat="false" ht="15.75" hidden="false" customHeight="true" outlineLevel="0" collapsed="false">
      <c r="A62" s="32"/>
      <c r="B62" s="33" t="s">
        <v>203</v>
      </c>
      <c r="C62" s="30" t="s">
        <v>93</v>
      </c>
      <c r="D62" s="36" t="s">
        <v>100</v>
      </c>
      <c r="E62" s="36" t="s">
        <v>100</v>
      </c>
      <c r="I62" s="33" t="s">
        <v>204</v>
      </c>
    </row>
    <row r="63" customFormat="false" ht="15.75" hidden="false" customHeight="true" outlineLevel="0" collapsed="false">
      <c r="A63" s="32"/>
      <c r="B63" s="33" t="s">
        <v>205</v>
      </c>
      <c r="C63" s="30" t="s">
        <v>93</v>
      </c>
      <c r="D63" s="34" t="s">
        <v>97</v>
      </c>
      <c r="E63" s="36" t="s">
        <v>100</v>
      </c>
      <c r="I63" s="33" t="s">
        <v>206</v>
      </c>
    </row>
    <row r="64" customFormat="false" ht="15.75" hidden="false" customHeight="true" outlineLevel="0" collapsed="false">
      <c r="A64" s="32"/>
      <c r="B64" s="33" t="s">
        <v>207</v>
      </c>
      <c r="C64" s="30" t="s">
        <v>93</v>
      </c>
      <c r="D64" s="36" t="s">
        <v>100</v>
      </c>
      <c r="E64" s="34" t="s">
        <v>97</v>
      </c>
      <c r="I64" s="33" t="s">
        <v>208</v>
      </c>
    </row>
    <row r="65" customFormat="false" ht="15.75" hidden="false" customHeight="true" outlineLevel="0" collapsed="false">
      <c r="A65" s="32"/>
      <c r="B65" s="33" t="s">
        <v>209</v>
      </c>
      <c r="C65" s="30" t="s">
        <v>93</v>
      </c>
      <c r="D65" s="34" t="s">
        <v>97</v>
      </c>
      <c r="E65" s="34" t="s">
        <v>97</v>
      </c>
      <c r="I65" s="33" t="s">
        <v>210</v>
      </c>
    </row>
    <row r="66" customFormat="false" ht="19.5" hidden="false" customHeight="true" outlineLevel="0" collapsed="false">
      <c r="A66" s="6" t="s">
        <v>211</v>
      </c>
      <c r="B66" s="8"/>
      <c r="C66" s="28" t="str">
        <f aca="false">IF($B66="","?",IFERROR(INDEX(C$67:C$70,MATCH($B66,$B$67:$B$70,0)),"?"))</f>
        <v>?</v>
      </c>
      <c r="D66" s="28" t="str">
        <f aca="false">IF($B66="","?",IFERROR(INDEX(D$67:D$70,MATCH($B66,$B$67:$B$70,0)),"?"))</f>
        <v>?</v>
      </c>
      <c r="E66" s="28" t="str">
        <f aca="false">IF($B66="","?",IFERROR(INDEX(E$67:E$70,MATCH($B66,$B$67:$B$70,0)),"?"))</f>
        <v>?</v>
      </c>
      <c r="F66" s="29"/>
      <c r="G66" s="29"/>
      <c r="H66" s="29"/>
      <c r="I66" s="11" t="s">
        <v>212</v>
      </c>
    </row>
    <row r="67" customFormat="false" ht="28.5" hidden="false" customHeight="true" outlineLevel="0" collapsed="false">
      <c r="A67" s="32"/>
      <c r="B67" s="33" t="s">
        <v>203</v>
      </c>
      <c r="C67" s="30" t="s">
        <v>93</v>
      </c>
      <c r="D67" s="37" t="s">
        <v>101</v>
      </c>
      <c r="E67" s="37" t="s">
        <v>101</v>
      </c>
      <c r="I67" s="33" t="s">
        <v>213</v>
      </c>
    </row>
    <row r="68" customFormat="false" ht="15.75" hidden="false" customHeight="true" outlineLevel="0" collapsed="false">
      <c r="A68" s="32"/>
      <c r="B68" s="33" t="s">
        <v>205</v>
      </c>
      <c r="C68" s="30" t="s">
        <v>93</v>
      </c>
      <c r="D68" s="34" t="s">
        <v>97</v>
      </c>
      <c r="E68" s="37" t="s">
        <v>101</v>
      </c>
      <c r="I68" s="33" t="s">
        <v>214</v>
      </c>
    </row>
    <row r="69" customFormat="false" ht="15.75" hidden="false" customHeight="true" outlineLevel="0" collapsed="false">
      <c r="A69" s="32"/>
      <c r="B69" s="33" t="s">
        <v>207</v>
      </c>
      <c r="C69" s="30" t="s">
        <v>93</v>
      </c>
      <c r="D69" s="37" t="s">
        <v>101</v>
      </c>
      <c r="E69" s="34" t="s">
        <v>97</v>
      </c>
      <c r="I69" s="33" t="s">
        <v>215</v>
      </c>
    </row>
    <row r="70" customFormat="false" ht="15.75" hidden="false" customHeight="true" outlineLevel="0" collapsed="false">
      <c r="A70" s="32"/>
      <c r="B70" s="33" t="s">
        <v>209</v>
      </c>
      <c r="C70" s="30" t="s">
        <v>93</v>
      </c>
      <c r="D70" s="34" t="s">
        <v>97</v>
      </c>
      <c r="E70" s="34" t="s">
        <v>97</v>
      </c>
      <c r="I70" s="33" t="s">
        <v>216</v>
      </c>
    </row>
    <row r="72" customFormat="false" ht="19.5" hidden="false" customHeight="true" outlineLevel="0" collapsed="false">
      <c r="A72" s="5" t="s">
        <v>30</v>
      </c>
      <c r="B72" s="5"/>
      <c r="C72" s="41" t="s">
        <v>88</v>
      </c>
      <c r="D72" s="41" t="s">
        <v>9</v>
      </c>
      <c r="E72" s="41" t="s">
        <v>13</v>
      </c>
      <c r="F72" s="42"/>
      <c r="G72" s="42"/>
      <c r="H72" s="42"/>
      <c r="I72" s="43" t="s">
        <v>217</v>
      </c>
    </row>
    <row r="73" customFormat="false" ht="33.75" hidden="false" customHeight="true" outlineLevel="0" collapsed="false">
      <c r="A73" s="44" t="s">
        <v>31</v>
      </c>
      <c r="B73" s="44"/>
      <c r="C73" s="45" t="str">
        <f aca="false">IF($C$78=15,"?",IF($B$8=$B$11,"Out of scope",IF($B$8=$B$12,"Out of scope",IF($B$8=$B$13,"Out of scope",IF($C$78&gt;0,"? ("&amp;$C$78&amp;" left)",IF(AND($D$77="Yes",$E$77="Yes"),"Assess separately",IF($D$77="Yes",IF($D$75&gt;0,"REST","★ GraphQL"),IF($E$77="Yes",IF($E$75&gt;0,"REST","★ gRPC"),"REST"))))))))</f>
        <v>?</v>
      </c>
      <c r="D73" s="45"/>
      <c r="E73" s="45"/>
      <c r="G73" s="4" t="s">
        <v>32</v>
      </c>
      <c r="H73" s="4"/>
      <c r="I73" s="4"/>
    </row>
    <row r="74" customFormat="false" ht="33.75" hidden="false" customHeight="true" outlineLevel="0" collapsed="false">
      <c r="A74" s="46" t="s">
        <v>33</v>
      </c>
      <c r="B74" s="46"/>
      <c r="C74" s="18" t="str">
        <f aca="false">IF($C$78=15,"Pick an option in each grey row to see the recommendation.",IF($B$8=$B$11,"OUT OF SCOPE: use the event-driven framework.",IF($B$8=$B$12,"OUT OF SCOPE: streaming is not covered; use the event-driven framework.",IF($B$8=$B$13,"OUT OF SCOPE: use the data-mobility assessment.",IF($C$78&gt;0,"Answer every grey row to see the recommendation: "&amp;$C$78&amp;" left.",IF(AND($D$77="Yes",$E$77="Yes"),"Both triggers picked: assess the varied reads and the performance-critical calls as separate use cases.",IF($D$77="Yes",IF($D$75&gt;0,"RECOMMENDED: REST. GraphQL is triggered but ruled out by: "&amp;MID(IF($D$8="F",", Interaction pattern","")&amp;IF($D$15="F",", Operation","")&amp;IF($D$19="F",", Data needs across consumers","")&amp;IF($D$23="F",", Response size","")&amp;IF($D$26="F",", Payload content","")&amp;IF($D$31="F",", Consumer type","")&amp;IF($D$35="F",", Number of consumers","")&amp;IF($D$40="F",", Performance evidence","")&amp;IF($D$45="F",", Caching","")&amp;IF($D$48="F",", Security and data sensitivity","")&amp;IF($D$51="F",", Interoperability","")&amp;IF($D$54="F",", Observability and audit","")&amp;IF($D$58="F",", Industry or regulatory standard","")&amp;IF($D$61="F",", Platform readiness","")&amp;IF($D$66="F",", Team capability",""),3,1000)&amp;". Record this in the decision record."&amp;(IF($B$8=$B$10,"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8.","")),"RECOMMENDED: ★ GraphQL."&amp;(IF($B$15=$B$18," Use GraphQL for the reads only and keep the changes in REST.",""))&amp;(IF($B$8=$B$10,"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8.",""))&amp;IF($D$76&gt;0," Justify each N: "&amp;MID(IF($D$8="N",", Interaction pattern","")&amp;IF($D$15="N",", Operation","")&amp;IF($D$19="N",", Data needs across consumers","")&amp;IF($D$23="N",", Response size","")&amp;IF($D$26="N",", Payload content","")&amp;IF($D$31="N",", Consumer type","")&amp;IF($D$35="N",", Number of consumers","")&amp;IF($D$40="N",", Performance evidence","")&amp;IF($D$45="N",", Caching","")&amp;IF($D$48="N",", Security and data sensitivity","")&amp;IF($D$51="N",", Interoperability","")&amp;IF($D$54="N",", Observability and audit","")&amp;IF($D$58="N",", Industry or regulatory standard","")&amp;IF($D$61="N",", Platform readiness","")&amp;IF($D$66="N",", Team capability",""),3,1000)&amp;".","")&amp;" Then meet the GraphQL conditions in How to use."),IF($E$77="Yes",IF($E$75&gt;0,"RECOMMENDED: REST. gRPC is triggered but ruled out by: "&amp;MID(IF($E$8="F",", Interaction pattern","")&amp;IF($E$15="F",", Operation","")&amp;IF($E$19="F",", Data needs across consumers","")&amp;IF($E$23="F",", Response size","")&amp;IF($E$26="F",", Payload content","")&amp;IF($E$31="F",", Consumer type","")&amp;IF($E$35="F",", Number of consumers","")&amp;IF($E$40="F",", Performance evidence","")&amp;IF($E$45="F",", Caching","")&amp;IF($E$48="F",", Security and data sensitivity","")&amp;IF($E$51="F",", Interoperability","")&amp;IF($E$54="F",", Observability and audit","")&amp;IF($E$58="F",", Industry or regulatory standard","")&amp;IF($E$61="F",", Platform readiness","")&amp;IF($E$66="F",", Team capability",""),3,1000)&amp;". Record this in the decision record."&amp;(IF($B$8=$B$10,"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8.","")),"RECOMMENDED: ★ gRPC."&amp;(IF($B$8=$B$10,"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8.",""))&amp;IF($E$76&gt;0," Justify each N: "&amp;MID(IF($E$8="N",", Interaction pattern","")&amp;IF($E$15="N",", Operation","")&amp;IF($E$19="N",", Data needs across consumers","")&amp;IF($E$23="N",", Response size","")&amp;IF($E$26="N",", Payload content","")&amp;IF($E$31="N",", Consumer type","")&amp;IF($E$35="N",", Number of consumers","")&amp;IF($E$40="N",", Performance evidence","")&amp;IF($E$45="N",", Caching","")&amp;IF($E$48="N",", Security and data sensitivity","")&amp;IF($E$51="N",", Interoperability","")&amp;IF($E$54="N",", Observability and audit","")&amp;IF($E$58="N",", Industry or regulatory standard","")&amp;IF($E$61="N",", Platform readiness","")&amp;IF($E$66="N",", Team capability",""),3,1000)&amp;".","")&amp;" Then meet the gRPC conditions in How to use."),"RECOMMENDED: REST (default)."&amp;(IF($B$8=$B$10,"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f>
        <v>Pick an option in each grey row to see the recommendation.</v>
      </c>
      <c r="D74" s="18"/>
      <c r="E74" s="18"/>
      <c r="F74" s="18"/>
      <c r="G74" s="18"/>
      <c r="H74" s="18"/>
      <c r="I74" s="18"/>
    </row>
    <row r="75" customFormat="false" ht="30" hidden="false" customHeight="true" outlineLevel="0" collapsed="false">
      <c r="A75" s="46" t="s">
        <v>218</v>
      </c>
      <c r="B75" s="46"/>
      <c r="C75" s="47" t="n">
        <f aca="false">IF(OR($B$8=$B$11,$B$8=$B$12,$B$8=$B$13),0,($C$8="F")+($C$15="F")+($C$19="F")+($C$23="F")+($C$26="F")+($C$31="F")+($C$35="F")+($C$40="F")+($C$45="F")+($C$48="F")+($C$51="F")+($C$54="F")+($C$58="F")+($C$61="F")+($C$66="F"))</f>
        <v>0</v>
      </c>
      <c r="D75" s="47" t="n">
        <f aca="false">IF(OR($B$8=$B$11,$B$8=$B$12,$B$8=$B$13),0,($D$8="F")+($D$15="F")+($D$19="F")+($D$23="F")+($D$26="F")+($D$31="F")+($D$35="F")+($D$40="F")+($D$45="F")+($D$48="F")+($D$51="F")+($D$54="F")+($D$58="F")+($D$61="F")+($D$66="F"))</f>
        <v>0</v>
      </c>
      <c r="E75" s="47" t="n">
        <f aca="false">IF(OR($B$8=$B$11,$B$8=$B$12,$B$8=$B$13),0,($E$8="F")+($E$15="F")+($E$19="F")+($E$23="F")+($E$26="F")+($E$31="F")+($E$35="F")+($E$40="F")+($E$45="F")+($E$48="F")+($E$51="F")+($E$54="F")+($E$58="F")+($E$61="F")+($E$66="F"))</f>
        <v>0</v>
      </c>
      <c r="I75" s="48" t="str">
        <f aca="false">IF(OR($B$8=$B$11,$B$8=$B$12,$B$8=$B$13),"Not assessed: out of scope.",IF($D$75+$E$75=0,"None.",TRIM(IF($D$75&gt;0,"GraphQL: "&amp;MID(IF($D$8="F",", Interaction pattern","")&amp;IF($D$15="F",", Operation","")&amp;IF($D$19="F",", Data needs across consumers","")&amp;IF($D$23="F",", Response size","")&amp;IF($D$26="F",", Payload content","")&amp;IF($D$31="F",", Consumer type","")&amp;IF($D$35="F",", Number of consumers","")&amp;IF($D$40="F",", Performance evidence","")&amp;IF($D$45="F",", Caching","")&amp;IF($D$48="F",", Security and data sensitivity","")&amp;IF($D$51="F",", Interoperability","")&amp;IF($D$54="F",", Observability and audit","")&amp;IF($D$58="F",", Industry or regulatory standard","")&amp;IF($D$61="F",", Platform readiness","")&amp;IF($D$66="F",", Team capability",""),3,1000)&amp;". ","")&amp;IF($E$75&gt;0,"gRPC: "&amp;MID(IF($E$8="F",", Interaction pattern","")&amp;IF($E$15="F",", Operation","")&amp;IF($E$19="F",", Data needs across consumers","")&amp;IF($E$23="F",", Response size","")&amp;IF($E$26="F",", Payload content","")&amp;IF($E$31="F",", Consumer type","")&amp;IF($E$35="F",", Number of consumers","")&amp;IF($E$40="F",", Performance evidence","")&amp;IF($E$45="F",", Caching","")&amp;IF($E$48="F",", Security and data sensitivity","")&amp;IF($E$51="F",", Interoperability","")&amp;IF($E$54="F",", Observability and audit","")&amp;IF($E$58="F",", Industry or regulatory standard","")&amp;IF($E$61="F",", Platform readiness","")&amp;IF($E$66="F",", Team capability",""),3,1000)&amp;".",""))))</f>
        <v>None.</v>
      </c>
    </row>
    <row r="76" customFormat="false" ht="43.5" hidden="false" customHeight="true" outlineLevel="0" collapsed="false">
      <c r="A76" s="46" t="s">
        <v>219</v>
      </c>
      <c r="B76" s="46"/>
      <c r="C76" s="47" t="n">
        <f aca="false">IF(OR($B$8=$B$11,$B$8=$B$12,$B$8=$B$13),0,($C$8="N")+($C$15="N")+($C$19="N")+($C$23="N")+($C$26="N")+($C$31="N")+($C$35="N")+($C$40="N")+($C$45="N")+($C$48="N")+($C$51="N")+($C$54="N")+($C$58="N")+($C$61="N")+($C$66="N"))</f>
        <v>0</v>
      </c>
      <c r="D76" s="47" t="n">
        <f aca="false">IF(OR($B$8=$B$11,$B$8=$B$12,$B$8=$B$13),0,($D$8="N")+($D$15="N")+($D$19="N")+($D$23="N")+($D$26="N")+($D$31="N")+($D$35="N")+($D$40="N")+($D$45="N")+($D$48="N")+($D$51="N")+($D$54="N")+($D$58="N")+($D$61="N")+($D$66="N"))</f>
        <v>0</v>
      </c>
      <c r="E76" s="47" t="n">
        <f aca="false">IF(OR($B$8=$B$11,$B$8=$B$12,$B$8=$B$13),0,($E$8="N")+($E$15="N")+($E$19="N")+($E$23="N")+($E$26="N")+($E$31="N")+($E$35="N")+($E$40="N")+($E$45="N")+($E$48="N")+($E$51="N")+($E$54="N")+($E$58="N")+($E$61="N")+($E$66="N"))</f>
        <v>0</v>
      </c>
      <c r="I76" s="48" t="str">
        <f aca="false">IF(OR($B$8=$B$11,$B$8=$B$12,$B$8=$B$13),"Not assessed: out of scope.",IF($C$76+$D$76+$E$76=0,"None.",TRIM(IF($C$76&gt;0,"REST: "&amp;MID(IF($C$8="N",", Interaction pattern","")&amp;IF($C$15="N",", Operation","")&amp;IF($C$19="N",", Data needs across consumers","")&amp;IF($C$23="N",", Response size","")&amp;IF($C$26="N",", Payload content","")&amp;IF($C$31="N",", Consumer type","")&amp;IF($C$35="N",", Number of consumers","")&amp;IF($C$40="N",", Performance evidence","")&amp;IF($C$45="N",", Caching","")&amp;IF($C$48="N",", Security and data sensitivity","")&amp;IF($C$51="N",", Interoperability","")&amp;IF($C$54="N",", Observability and audit","")&amp;IF($C$58="N",", Industry or regulatory standard","")&amp;IF($C$61="N",", Platform readiness","")&amp;IF($C$66="N",", Team capability",""),3,1000)&amp;". ","")&amp;IF($D$76&gt;0,"GraphQL: "&amp;MID(IF($D$8="N",", Interaction pattern","")&amp;IF($D$15="N",", Operation","")&amp;IF($D$19="N",", Data needs across consumers","")&amp;IF($D$23="N",", Response size","")&amp;IF($D$26="N",", Payload content","")&amp;IF($D$31="N",", Consumer type","")&amp;IF($D$35="N",", Number of consumers","")&amp;IF($D$40="N",", Performance evidence","")&amp;IF($D$45="N",", Caching","")&amp;IF($D$48="N",", Security and data sensitivity","")&amp;IF($D$51="N",", Interoperability","")&amp;IF($D$54="N",", Observability and audit","")&amp;IF($D$58="N",", Industry or regulatory standard","")&amp;IF($D$61="N",", Platform readiness","")&amp;IF($D$66="N",", Team capability",""),3,1000)&amp;". ","")&amp;IF($E$76&gt;0,"gRPC: "&amp;MID(IF($E$8="N",", Interaction pattern","")&amp;IF($E$15="N",", Operation","")&amp;IF($E$19="N",", Data needs across consumers","")&amp;IF($E$23="N",", Response size","")&amp;IF($E$26="N",", Payload content","")&amp;IF($E$31="N",", Consumer type","")&amp;IF($E$35="N",", Number of consumers","")&amp;IF($E$40="N",", Performance evidence","")&amp;IF($E$45="N",", Caching","")&amp;IF($E$48="N",", Security and data sensitivity","")&amp;IF($E$51="N",", Interoperability","")&amp;IF($E$54="N",", Observability and audit","")&amp;IF($E$58="N",", Industry or regulatory standard","")&amp;IF($E$61="N",", Platform readiness","")&amp;IF($E$66="N",", Team capability",""),3,1000)&amp;".",""))))</f>
        <v>None.</v>
      </c>
    </row>
    <row r="77" customFormat="false" ht="19.5" hidden="false" customHeight="true" outlineLevel="0" collapsed="false">
      <c r="A77" s="46" t="s">
        <v>220</v>
      </c>
      <c r="B77" s="46"/>
      <c r="C77" s="49" t="s">
        <v>221</v>
      </c>
      <c r="D77" s="49" t="str">
        <f aca="false">IF($B$19=$B$22,"Yes","No")</f>
        <v>No</v>
      </c>
      <c r="E77" s="49" t="str">
        <f aca="false">IF(OR($B$40=$B$43,$B$40=$B$44),"Yes","No")</f>
        <v>No</v>
      </c>
      <c r="I77" s="48" t="s">
        <v>222</v>
      </c>
    </row>
    <row r="78" customFormat="false" ht="19.5" hidden="false" customHeight="true" outlineLevel="0" collapsed="false">
      <c r="A78" s="46" t="s">
        <v>223</v>
      </c>
      <c r="B78" s="46"/>
      <c r="C78" s="50" t="n">
        <f aca="false">($B$8="")+($B$15="")+($B$19="")+($B$23="")+($B$26="")+($B$31="")+($B$35="")+($B$40="")+($B$45="")+($B$48="")+($B$51="")+($B$54="")+($B$58="")+($B$61="")+($B$66="")</f>
        <v>15</v>
      </c>
      <c r="D78" s="50"/>
      <c r="E78" s="50"/>
    </row>
  </sheetData>
  <mergeCells count="21">
    <mergeCell ref="A1:I1"/>
    <mergeCell ref="A2:I2"/>
    <mergeCell ref="A3:I3"/>
    <mergeCell ref="A4:I4"/>
    <mergeCell ref="G6:H6"/>
    <mergeCell ref="A7:I7"/>
    <mergeCell ref="A14:I14"/>
    <mergeCell ref="A30:I30"/>
    <mergeCell ref="A39:I39"/>
    <mergeCell ref="A57:I57"/>
    <mergeCell ref="A72:B72"/>
    <mergeCell ref="A73:B73"/>
    <mergeCell ref="C73:E73"/>
    <mergeCell ref="G73:I73"/>
    <mergeCell ref="A74:B74"/>
    <mergeCell ref="C74:I74"/>
    <mergeCell ref="A75:B75"/>
    <mergeCell ref="A76:B76"/>
    <mergeCell ref="A77:B77"/>
    <mergeCell ref="A78:B78"/>
    <mergeCell ref="C78:E78"/>
  </mergeCells>
  <conditionalFormatting sqref="B9:B13">
    <cfRule type="expression" priority="2" aboveAverage="0" equalAverage="0" bottom="0" percent="0" rank="0" text="" dxfId="7">
      <formula>$B$8=$B9</formula>
    </cfRule>
  </conditionalFormatting>
  <conditionalFormatting sqref="I9:I13">
    <cfRule type="expression" priority="3" aboveAverage="0" equalAverage="0" bottom="0" percent="0" rank="0" text="" dxfId="8">
      <formula>$B$8=$B9</formula>
    </cfRule>
  </conditionalFormatting>
  <conditionalFormatting sqref="B16:B18">
    <cfRule type="expression" priority="4" aboveAverage="0" equalAverage="0" bottom="0" percent="0" rank="0" text="" dxfId="7">
      <formula>$B$15=$B16</formula>
    </cfRule>
  </conditionalFormatting>
  <conditionalFormatting sqref="I16:I18">
    <cfRule type="expression" priority="5" aboveAverage="0" equalAverage="0" bottom="0" percent="0" rank="0" text="" dxfId="8">
      <formula>$B$15=$B16</formula>
    </cfRule>
  </conditionalFormatting>
  <conditionalFormatting sqref="B20:B22">
    <cfRule type="expression" priority="6" aboveAverage="0" equalAverage="0" bottom="0" percent="0" rank="0" text="" dxfId="7">
      <formula>$B$19=$B20</formula>
    </cfRule>
  </conditionalFormatting>
  <conditionalFormatting sqref="I20:I22">
    <cfRule type="expression" priority="7" aboveAverage="0" equalAverage="0" bottom="0" percent="0" rank="0" text="" dxfId="8">
      <formula>$B$19=$B20</formula>
    </cfRule>
  </conditionalFormatting>
  <conditionalFormatting sqref="B24:B25">
    <cfRule type="expression" priority="8" aboveAverage="0" equalAverage="0" bottom="0" percent="0" rank="0" text="" dxfId="7">
      <formula>$B$23=$B24</formula>
    </cfRule>
  </conditionalFormatting>
  <conditionalFormatting sqref="I24:I25">
    <cfRule type="expression" priority="9" aboveAverage="0" equalAverage="0" bottom="0" percent="0" rank="0" text="" dxfId="8">
      <formula>$B$23=$B24</formula>
    </cfRule>
  </conditionalFormatting>
  <conditionalFormatting sqref="B27:B29">
    <cfRule type="expression" priority="10" aboveAverage="0" equalAverage="0" bottom="0" percent="0" rank="0" text="" dxfId="7">
      <formula>$B$26=$B27</formula>
    </cfRule>
  </conditionalFormatting>
  <conditionalFormatting sqref="I27:I29">
    <cfRule type="expression" priority="11" aboveAverage="0" equalAverage="0" bottom="0" percent="0" rank="0" text="" dxfId="8">
      <formula>$B$26=$B27</formula>
    </cfRule>
  </conditionalFormatting>
  <conditionalFormatting sqref="B32:B34">
    <cfRule type="expression" priority="12" aboveAverage="0" equalAverage="0" bottom="0" percent="0" rank="0" text="" dxfId="7">
      <formula>$B$31=$B32</formula>
    </cfRule>
  </conditionalFormatting>
  <conditionalFormatting sqref="I32:I34">
    <cfRule type="expression" priority="13" aboveAverage="0" equalAverage="0" bottom="0" percent="0" rank="0" text="" dxfId="8">
      <formula>$B$31=$B32</formula>
    </cfRule>
  </conditionalFormatting>
  <conditionalFormatting sqref="B36:B38">
    <cfRule type="expression" priority="14" aboveAverage="0" equalAverage="0" bottom="0" percent="0" rank="0" text="" dxfId="7">
      <formula>$B$35=$B36</formula>
    </cfRule>
  </conditionalFormatting>
  <conditionalFormatting sqref="I36:I38">
    <cfRule type="expression" priority="15" aboveAverage="0" equalAverage="0" bottom="0" percent="0" rank="0" text="" dxfId="8">
      <formula>$B$35=$B36</formula>
    </cfRule>
  </conditionalFormatting>
  <conditionalFormatting sqref="B41:B44">
    <cfRule type="expression" priority="16" aboveAverage="0" equalAverage="0" bottom="0" percent="0" rank="0" text="" dxfId="7">
      <formula>$B$40=$B41</formula>
    </cfRule>
  </conditionalFormatting>
  <conditionalFormatting sqref="I41:I44">
    <cfRule type="expression" priority="17" aboveAverage="0" equalAverage="0" bottom="0" percent="0" rank="0" text="" dxfId="8">
      <formula>$B$40=$B41</formula>
    </cfRule>
  </conditionalFormatting>
  <conditionalFormatting sqref="B46:B47">
    <cfRule type="expression" priority="18" aboveAverage="0" equalAverage="0" bottom="0" percent="0" rank="0" text="" dxfId="7">
      <formula>$B$45=$B46</formula>
    </cfRule>
  </conditionalFormatting>
  <conditionalFormatting sqref="I46:I47">
    <cfRule type="expression" priority="19" aboveAverage="0" equalAverage="0" bottom="0" percent="0" rank="0" text="" dxfId="8">
      <formula>$B$45=$B46</formula>
    </cfRule>
  </conditionalFormatting>
  <conditionalFormatting sqref="B49:B50">
    <cfRule type="expression" priority="20" aboveAverage="0" equalAverage="0" bottom="0" percent="0" rank="0" text="" dxfId="7">
      <formula>$B$48=$B49</formula>
    </cfRule>
  </conditionalFormatting>
  <conditionalFormatting sqref="I49:I50">
    <cfRule type="expression" priority="21" aboveAverage="0" equalAverage="0" bottom="0" percent="0" rank="0" text="" dxfId="8">
      <formula>$B$48=$B49</formula>
    </cfRule>
  </conditionalFormatting>
  <conditionalFormatting sqref="B52:B53">
    <cfRule type="expression" priority="22" aboveAverage="0" equalAverage="0" bottom="0" percent="0" rank="0" text="" dxfId="7">
      <formula>$B$51=$B52</formula>
    </cfRule>
  </conditionalFormatting>
  <conditionalFormatting sqref="I52:I53">
    <cfRule type="expression" priority="23" aboveAverage="0" equalAverage="0" bottom="0" percent="0" rank="0" text="" dxfId="8">
      <formula>$B$51=$B52</formula>
    </cfRule>
  </conditionalFormatting>
  <conditionalFormatting sqref="B55:B56">
    <cfRule type="expression" priority="24" aboveAverage="0" equalAverage="0" bottom="0" percent="0" rank="0" text="" dxfId="7">
      <formula>$B$54=$B55</formula>
    </cfRule>
  </conditionalFormatting>
  <conditionalFormatting sqref="I55:I56">
    <cfRule type="expression" priority="25" aboveAverage="0" equalAverage="0" bottom="0" percent="0" rank="0" text="" dxfId="8">
      <formula>$B$54=$B55</formula>
    </cfRule>
  </conditionalFormatting>
  <conditionalFormatting sqref="B59:B60">
    <cfRule type="expression" priority="26" aboveAverage="0" equalAverage="0" bottom="0" percent="0" rank="0" text="" dxfId="7">
      <formula>$B$58=$B59</formula>
    </cfRule>
  </conditionalFormatting>
  <conditionalFormatting sqref="I59:I60">
    <cfRule type="expression" priority="27" aboveAverage="0" equalAverage="0" bottom="0" percent="0" rank="0" text="" dxfId="8">
      <formula>$B$58=$B59</formula>
    </cfRule>
  </conditionalFormatting>
  <conditionalFormatting sqref="B62:B65">
    <cfRule type="expression" priority="28" aboveAverage="0" equalAverage="0" bottom="0" percent="0" rank="0" text="" dxfId="7">
      <formula>$B$61=$B62</formula>
    </cfRule>
  </conditionalFormatting>
  <conditionalFormatting sqref="I62:I65">
    <cfRule type="expression" priority="29" aboveAverage="0" equalAverage="0" bottom="0" percent="0" rank="0" text="" dxfId="8">
      <formula>$B$61=$B62</formula>
    </cfRule>
  </conditionalFormatting>
  <conditionalFormatting sqref="B67:B70">
    <cfRule type="expression" priority="30" aboveAverage="0" equalAverage="0" bottom="0" percent="0" rank="0" text="" dxfId="7">
      <formula>$B$66=$B67</formula>
    </cfRule>
  </conditionalFormatting>
  <conditionalFormatting sqref="I67:I70">
    <cfRule type="expression" priority="31" aboveAverage="0" equalAverage="0" bottom="0" percent="0" rank="0" text="" dxfId="8">
      <formula>$B$66=$B67</formula>
    </cfRule>
  </conditionalFormatting>
  <conditionalFormatting sqref="C8:E8 C15:E15 C19:E19 C23:E23 C26:E26 C31:E31 C35:E35 C40:E40 C45:E45 C48:E48 C51:E51 C54:E54 C58:E58 C61:E61 C66:E66">
    <cfRule type="cellIs" priority="32" operator="equal" aboveAverage="0" equalAverage="0" bottom="0" percent="0" rank="0" text="" dxfId="1">
      <formula>"R"</formula>
    </cfRule>
    <cfRule type="cellIs" priority="33" operator="equal" aboveAverage="0" equalAverage="0" bottom="0" percent="0" rank="0" text="" dxfId="9">
      <formula>"S"</formula>
    </cfRule>
    <cfRule type="cellIs" priority="34" operator="equal" aboveAverage="0" equalAverage="0" bottom="0" percent="0" rank="0" text="" dxfId="0">
      <formula>"N"</formula>
    </cfRule>
    <cfRule type="cellIs" priority="35" operator="equal" aboveAverage="0" equalAverage="0" bottom="0" percent="0" rank="0" text="" dxfId="6">
      <formula>"F"</formula>
    </cfRule>
    <cfRule type="cellIs" priority="36" operator="equal" aboveAverage="0" equalAverage="0" bottom="0" percent="0" rank="0" text="" dxfId="3">
      <formula>"Exit"</formula>
    </cfRule>
  </conditionalFormatting>
  <conditionalFormatting sqref="C73:E73">
    <cfRule type="expression" priority="37" aboveAverage="0" equalAverage="0" bottom="0" percent="0" rank="0" text="" dxfId="1">
      <formula>ISNUMBER(SEARCH("★",C73))</formula>
    </cfRule>
    <cfRule type="expression" priority="38" aboveAverage="0" equalAverage="0" bottom="0" percent="0" rank="0" text="" dxfId="2">
      <formula>C73="REST"</formula>
    </cfRule>
    <cfRule type="expression" priority="39" aboveAverage="0" equalAverage="0" bottom="0" percent="0" rank="0" text="" dxfId="3">
      <formula>OR(C73="Out of scope",C73="Assess separately")</formula>
    </cfRule>
  </conditionalFormatting>
  <conditionalFormatting sqref="C74:I74">
    <cfRule type="expression" priority="40" aboveAverage="0" equalAverage="0" bottom="0" percent="0" rank="0" text="" dxfId="4">
      <formula>ISNUMBER(SEARCH("RECOMMENDED: ★",C74))</formula>
    </cfRule>
  </conditionalFormatting>
  <conditionalFormatting sqref="C75:E75">
    <cfRule type="cellIs" priority="41" operator="greaterThan" aboveAverage="0" equalAverage="0" bottom="0" percent="0" rank="0" text="" dxfId="6">
      <formula>0</formula>
    </cfRule>
  </conditionalFormatting>
  <conditionalFormatting sqref="C76:E76">
    <cfRule type="cellIs" priority="42" operator="greaterThan" aboveAverage="0" equalAverage="0" bottom="0" percent="0" rank="0" text="" dxfId="0">
      <formula>0</formula>
    </cfRule>
  </conditionalFormatting>
  <conditionalFormatting sqref="D77:E77">
    <cfRule type="cellIs" priority="43" operator="equal" aboveAverage="0" equalAverage="0" bottom="0" percent="0" rank="0" text="" dxfId="1">
      <formula>"Yes"</formula>
    </cfRule>
  </conditionalFormatting>
  <dataValidations count="15">
    <dataValidation allowBlank="true" error="Pick one of the listed options." errorStyle="stop" errorTitle="Not an option" operator="between" prompt="Pick the option that fits your use case." promptTitle="Interaction pattern" showDropDown="false" showErrorMessage="true" showInputMessage="true" sqref="B8" type="list">
      <formula1>$B$9:$B$13</formula1>
      <formula2>0</formula2>
    </dataValidation>
    <dataValidation allowBlank="true" error="Pick one of the listed options." errorStyle="stop" errorTitle="Not an option" operator="between" prompt="Pick the option that fits your use case." promptTitle="Operation" showDropDown="false" showErrorMessage="true" showInputMessage="true" sqref="B15" type="list">
      <formula1>$B$16:$B$18</formula1>
      <formula2>0</formula2>
    </dataValidation>
    <dataValidation allowBlank="true" error="Pick one of the listed options." errorStyle="stop" errorTitle="Not an option" operator="between" prompt="Pick the option that fits your use case." promptTitle="Data needs across consumers" showDropDown="false" showErrorMessage="true" showInputMessage="true" sqref="B19" type="list">
      <formula1>$B$20:$B$22</formula1>
      <formula2>0</formula2>
    </dataValidation>
    <dataValidation allowBlank="true" error="Pick one of the listed options." errorStyle="stop" errorTitle="Not an option" operator="between" prompt="Pick the option that fits your use case." promptTitle="Response size" showDropDown="false" showErrorMessage="true" showInputMessage="true" sqref="B23" type="list">
      <formula1>$B$24:$B$25</formula1>
      <formula2>0</formula2>
    </dataValidation>
    <dataValidation allowBlank="true" error="Pick one of the listed options." errorStyle="stop" errorTitle="Not an option" operator="between" prompt="Pick the option that fits your use case." promptTitle="Payload content" showDropDown="false" showErrorMessage="true" showInputMessage="true" sqref="B26" type="list">
      <formula1>$B$27:$B$29</formula1>
      <formula2>0</formula2>
    </dataValidation>
    <dataValidation allowBlank="true" error="Pick one of the listed options." errorStyle="stop" errorTitle="Not an option" operator="between" prompt="Pick the option that fits your use case." promptTitle="Consumer type" showDropDown="false" showErrorMessage="true" showInputMessage="true" sqref="B31" type="list">
      <formula1>$B$32:$B$34</formula1>
      <formula2>0</formula2>
    </dataValidation>
    <dataValidation allowBlank="true" error="Pick one of the listed options." errorStyle="stop" errorTitle="Not an option" operator="between" prompt="Pick the option that fits your use case." promptTitle="Number of consumers" showDropDown="false" showErrorMessage="true" showInputMessage="true" sqref="B35" type="list">
      <formula1>$B$36:$B$38</formula1>
      <formula2>0</formula2>
    </dataValidation>
    <dataValidation allowBlank="true" error="Pick one of the listed options." errorStyle="stop" errorTitle="Not an option" operator="between" prompt="Pick the option that fits your use case." promptTitle="Performance evidence" showDropDown="false" showErrorMessage="true" showInputMessage="true" sqref="B40" type="list">
      <formula1>$B$41:$B$44</formula1>
      <formula2>0</formula2>
    </dataValidation>
    <dataValidation allowBlank="true" error="Pick one of the listed options." errorStyle="stop" errorTitle="Not an option" operator="between" prompt="Pick the option that fits your use case." promptTitle="Caching" showDropDown="false" showErrorMessage="true" showInputMessage="true" sqref="B45" type="list">
      <formula1>$B$46:$B$47</formula1>
      <formula2>0</formula2>
    </dataValidation>
    <dataValidation allowBlank="true" error="Pick one of the listed options." errorStyle="stop" errorTitle="Not an option" operator="between" prompt="Pick the option that fits your use case." promptTitle="Security and data sensitivity" showDropDown="false" showErrorMessage="true" showInputMessage="true" sqref="B48" type="list">
      <formula1>$B$49:$B$50</formula1>
      <formula2>0</formula2>
    </dataValidation>
    <dataValidation allowBlank="true" error="Pick one of the listed options." errorStyle="stop" errorTitle="Not an option" operator="between" prompt="Pick the option that fits your use case." promptTitle="Interoperability" showDropDown="false" showErrorMessage="true" showInputMessage="true" sqref="B51" type="list">
      <formula1>$B$52:$B$53</formula1>
      <formula2>0</formula2>
    </dataValidation>
    <dataValidation allowBlank="true" error="Pick one of the listed options." errorStyle="stop" errorTitle="Not an option" operator="between" prompt="Pick the option that fits your use case." promptTitle="Observability and audit" showDropDown="false" showErrorMessage="true" showInputMessage="true" sqref="B54" type="list">
      <formula1>$B$55:$B$56</formula1>
      <formula2>0</formula2>
    </dataValidation>
    <dataValidation allowBlank="true" error="Pick one of the listed options." errorStyle="stop" errorTitle="Not an option" operator="between" prompt="Pick the option that fits your use case." promptTitle="Industry or regulatory standard" showDropDown="false" showErrorMessage="true" showInputMessage="true" sqref="B58" type="list">
      <formula1>$B$59:$B$60</formula1>
      <formula2>0</formula2>
    </dataValidation>
    <dataValidation allowBlank="true" error="Pick one of the listed options." errorStyle="stop" errorTitle="Not an option" operator="between" prompt="Pick the option that fits your use case." promptTitle="Platform readiness" showDropDown="false" showErrorMessage="true" showInputMessage="true" sqref="B61" type="list">
      <formula1>$B$62:$B$65</formula1>
      <formula2>0</formula2>
    </dataValidation>
    <dataValidation allowBlank="true" error="Pick one of the listed options." errorStyle="stop" errorTitle="Not an option" operator="between" prompt="Pick the option that fits your use case." promptTitle="Team capability" showDropDown="false" showErrorMessage="true" showInputMessage="true" sqref="B66" type="list">
      <formula1>$B$67:$B$70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71"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5" min="3" style="0" width="10"/>
    <col collapsed="false" customWidth="true" hidden="false" outlineLevel="0" max="6" min="6" style="0" width="40"/>
  </cols>
  <sheetData>
    <row r="1" customFormat="false" ht="25.5" hidden="false" customHeight="true" outlineLevel="0" collapsed="false">
      <c r="A1" s="51" t="s">
        <v>224</v>
      </c>
      <c r="B1" s="51"/>
      <c r="C1" s="51"/>
      <c r="D1" s="51"/>
      <c r="E1" s="51"/>
      <c r="F1" s="51"/>
    </row>
    <row r="2" customFormat="false" ht="15.75" hidden="false" customHeight="true" outlineLevel="0" collapsed="false">
      <c r="A2" s="21" t="s">
        <v>225</v>
      </c>
      <c r="B2" s="21"/>
      <c r="C2" s="21"/>
      <c r="D2" s="21"/>
      <c r="E2" s="21"/>
      <c r="F2" s="21"/>
    </row>
    <row r="4" customFormat="false" ht="19.5" hidden="false" customHeight="true" outlineLevel="0" collapsed="false">
      <c r="A4" s="5" t="s">
        <v>226</v>
      </c>
      <c r="B4" s="5"/>
      <c r="C4" s="5"/>
      <c r="D4" s="5"/>
      <c r="E4" s="5"/>
      <c r="F4" s="5"/>
    </row>
    <row r="5" customFormat="false" ht="15.75" hidden="false" customHeight="true" outlineLevel="0" collapsed="false">
      <c r="A5" s="52" t="s">
        <v>227</v>
      </c>
      <c r="B5" s="52"/>
      <c r="C5" s="52"/>
      <c r="D5" s="52"/>
      <c r="E5" s="52"/>
      <c r="F5" s="52"/>
    </row>
    <row r="6" customFormat="false" ht="18" hidden="false" customHeight="true" outlineLevel="0" collapsed="false">
      <c r="A6" s="53" t="s">
        <v>228</v>
      </c>
      <c r="B6" s="53"/>
      <c r="C6" s="53" t="s">
        <v>94</v>
      </c>
      <c r="D6" s="53"/>
      <c r="E6" s="53"/>
      <c r="F6" s="54" t="s">
        <v>229</v>
      </c>
    </row>
    <row r="7" customFormat="false" ht="28.5" hidden="false" customHeight="true" outlineLevel="0" collapsed="false">
      <c r="A7" s="33" t="s">
        <v>230</v>
      </c>
      <c r="B7" s="33"/>
      <c r="C7" s="55" t="s">
        <v>88</v>
      </c>
      <c r="D7" s="55"/>
      <c r="E7" s="55"/>
      <c r="F7" s="33" t="s">
        <v>231</v>
      </c>
    </row>
    <row r="8" customFormat="false" ht="15.75" hidden="false" customHeight="true" outlineLevel="0" collapsed="false">
      <c r="A8" s="33" t="s">
        <v>232</v>
      </c>
      <c r="B8" s="33"/>
      <c r="C8" s="55" t="s">
        <v>88</v>
      </c>
      <c r="D8" s="55"/>
      <c r="E8" s="55"/>
      <c r="F8" s="33" t="s">
        <v>233</v>
      </c>
    </row>
    <row r="9" customFormat="false" ht="28.5" hidden="false" customHeight="true" outlineLevel="0" collapsed="false">
      <c r="A9" s="56" t="s">
        <v>234</v>
      </c>
      <c r="B9" s="56"/>
      <c r="C9" s="30" t="s">
        <v>63</v>
      </c>
      <c r="D9" s="30"/>
      <c r="E9" s="30"/>
      <c r="F9" s="57" t="s">
        <v>235</v>
      </c>
    </row>
    <row r="10" customFormat="false" ht="15.75" hidden="false" customHeight="true" outlineLevel="0" collapsed="false">
      <c r="A10" s="56" t="s">
        <v>236</v>
      </c>
      <c r="B10" s="56"/>
      <c r="C10" s="30" t="s">
        <v>63</v>
      </c>
      <c r="D10" s="30"/>
      <c r="E10" s="30"/>
      <c r="F10" s="57" t="s">
        <v>235</v>
      </c>
    </row>
    <row r="11" customFormat="false" ht="28.5" hidden="false" customHeight="true" outlineLevel="0" collapsed="false">
      <c r="A11" s="33" t="s">
        <v>237</v>
      </c>
      <c r="B11" s="33"/>
      <c r="C11" s="55" t="s">
        <v>88</v>
      </c>
      <c r="D11" s="55"/>
      <c r="E11" s="55"/>
      <c r="F11" s="33" t="s">
        <v>238</v>
      </c>
    </row>
    <row r="12" customFormat="false" ht="28.5" hidden="false" customHeight="true" outlineLevel="0" collapsed="false">
      <c r="A12" s="56" t="s">
        <v>239</v>
      </c>
      <c r="B12" s="56"/>
      <c r="C12" s="30" t="s">
        <v>56</v>
      </c>
      <c r="D12" s="30"/>
      <c r="E12" s="30"/>
      <c r="F12" s="57" t="s">
        <v>240</v>
      </c>
    </row>
    <row r="13" customFormat="false" ht="28.5" hidden="false" customHeight="true" outlineLevel="0" collapsed="false">
      <c r="A13" s="33" t="s">
        <v>241</v>
      </c>
      <c r="B13" s="33"/>
      <c r="C13" s="55" t="s">
        <v>88</v>
      </c>
      <c r="D13" s="55"/>
      <c r="E13" s="55"/>
      <c r="F13" s="33" t="s">
        <v>242</v>
      </c>
    </row>
    <row r="14" customFormat="false" ht="28.5" hidden="false" customHeight="true" outlineLevel="0" collapsed="false">
      <c r="A14" s="33" t="s">
        <v>243</v>
      </c>
      <c r="B14" s="33"/>
      <c r="C14" s="55" t="s">
        <v>88</v>
      </c>
      <c r="D14" s="55"/>
      <c r="E14" s="55"/>
      <c r="F14" s="33" t="s">
        <v>244</v>
      </c>
    </row>
    <row r="15" customFormat="false" ht="28.5" hidden="false" customHeight="true" outlineLevel="0" collapsed="false">
      <c r="A15" s="33" t="s">
        <v>245</v>
      </c>
      <c r="B15" s="33"/>
      <c r="C15" s="55" t="s">
        <v>88</v>
      </c>
      <c r="D15" s="55"/>
      <c r="E15" s="55"/>
      <c r="F15" s="33" t="s">
        <v>246</v>
      </c>
    </row>
    <row r="16" customFormat="false" ht="28.5" hidden="false" customHeight="true" outlineLevel="0" collapsed="false">
      <c r="A16" s="33" t="s">
        <v>247</v>
      </c>
      <c r="B16" s="33"/>
      <c r="C16" s="55" t="s">
        <v>88</v>
      </c>
      <c r="D16" s="55"/>
      <c r="E16" s="55"/>
      <c r="F16" s="33" t="s">
        <v>248</v>
      </c>
    </row>
    <row r="17" customFormat="false" ht="28.5" hidden="false" customHeight="true" outlineLevel="0" collapsed="false">
      <c r="A17" s="33" t="s">
        <v>249</v>
      </c>
      <c r="B17" s="33"/>
      <c r="C17" s="55" t="s">
        <v>88</v>
      </c>
      <c r="D17" s="55"/>
      <c r="E17" s="55"/>
      <c r="F17" s="33" t="s">
        <v>250</v>
      </c>
    </row>
    <row r="18" customFormat="false" ht="28.5" hidden="false" customHeight="true" outlineLevel="0" collapsed="false">
      <c r="A18" s="33" t="s">
        <v>251</v>
      </c>
      <c r="B18" s="33"/>
      <c r="C18" s="55" t="s">
        <v>88</v>
      </c>
      <c r="D18" s="55"/>
      <c r="E18" s="55"/>
      <c r="F18" s="33" t="s">
        <v>252</v>
      </c>
    </row>
    <row r="19" customFormat="false" ht="15.75" hidden="false" customHeight="true" outlineLevel="0" collapsed="false">
      <c r="A19" s="33" t="s">
        <v>253</v>
      </c>
      <c r="B19" s="33"/>
      <c r="C19" s="39" t="s">
        <v>254</v>
      </c>
      <c r="D19" s="39"/>
      <c r="E19" s="39"/>
      <c r="F19" s="33" t="s">
        <v>255</v>
      </c>
    </row>
    <row r="20" customFormat="false" ht="15.75" hidden="false" customHeight="true" outlineLevel="0" collapsed="false">
      <c r="A20" s="33" t="s">
        <v>256</v>
      </c>
      <c r="B20" s="33"/>
      <c r="C20" s="39" t="s">
        <v>254</v>
      </c>
      <c r="D20" s="39"/>
      <c r="E20" s="39"/>
      <c r="F20" s="33" t="s">
        <v>257</v>
      </c>
    </row>
    <row r="22" customFormat="false" ht="19.5" hidden="false" customHeight="true" outlineLevel="0" collapsed="false">
      <c r="A22" s="5" t="s">
        <v>258</v>
      </c>
      <c r="B22" s="5"/>
      <c r="C22" s="5"/>
      <c r="D22" s="5"/>
      <c r="E22" s="5"/>
      <c r="F22" s="5"/>
    </row>
    <row r="23" customFormat="false" ht="18" hidden="false" customHeight="true" outlineLevel="0" collapsed="false">
      <c r="A23" s="58" t="s">
        <v>93</v>
      </c>
      <c r="B23" s="59" t="s">
        <v>94</v>
      </c>
      <c r="C23" s="60" t="s">
        <v>259</v>
      </c>
      <c r="D23" s="60"/>
      <c r="E23" s="60"/>
      <c r="F23" s="60"/>
    </row>
    <row r="24" customFormat="false" ht="18" hidden="false" customHeight="true" outlineLevel="0" collapsed="false">
      <c r="A24" s="61" t="s">
        <v>97</v>
      </c>
      <c r="B24" s="62" t="s">
        <v>18</v>
      </c>
      <c r="C24" s="60" t="s">
        <v>260</v>
      </c>
      <c r="D24" s="60"/>
      <c r="E24" s="60"/>
      <c r="F24" s="60"/>
    </row>
    <row r="25" customFormat="false" ht="18" hidden="false" customHeight="true" outlineLevel="0" collapsed="false">
      <c r="A25" s="63" t="s">
        <v>101</v>
      </c>
      <c r="B25" s="64" t="s">
        <v>102</v>
      </c>
      <c r="C25" s="60" t="s">
        <v>261</v>
      </c>
      <c r="D25" s="60"/>
      <c r="E25" s="60"/>
      <c r="F25" s="60"/>
    </row>
    <row r="26" customFormat="false" ht="18" hidden="false" customHeight="true" outlineLevel="0" collapsed="false">
      <c r="A26" s="65" t="s">
        <v>100</v>
      </c>
      <c r="B26" s="66" t="s">
        <v>106</v>
      </c>
      <c r="C26" s="60" t="s">
        <v>262</v>
      </c>
      <c r="D26" s="60"/>
      <c r="E26" s="60"/>
      <c r="F26" s="60"/>
    </row>
    <row r="28" customFormat="false" ht="19.5" hidden="false" customHeight="true" outlineLevel="0" collapsed="false">
      <c r="A28" s="19" t="s">
        <v>263</v>
      </c>
      <c r="B28" s="19"/>
      <c r="C28" s="19"/>
      <c r="D28" s="19"/>
      <c r="E28" s="19"/>
      <c r="F28" s="19"/>
    </row>
    <row r="29" customFormat="false" ht="15.75" hidden="false" customHeight="true" outlineLevel="0" collapsed="false">
      <c r="A29" s="67" t="s">
        <v>264</v>
      </c>
      <c r="B29" s="68" t="s">
        <v>265</v>
      </c>
      <c r="C29" s="68"/>
      <c r="D29" s="68"/>
      <c r="E29" s="68"/>
      <c r="F29" s="68"/>
    </row>
    <row r="30" customFormat="false" ht="15.75" hidden="false" customHeight="true" outlineLevel="0" collapsed="false">
      <c r="A30" s="69" t="s">
        <v>266</v>
      </c>
      <c r="B30" s="21" t="s">
        <v>267</v>
      </c>
      <c r="C30" s="21"/>
      <c r="D30" s="21"/>
      <c r="E30" s="21"/>
      <c r="F30" s="21"/>
    </row>
    <row r="31" customFormat="false" ht="28.5" hidden="false" customHeight="true" outlineLevel="0" collapsed="false">
      <c r="A31" s="67" t="s">
        <v>228</v>
      </c>
      <c r="B31" s="68" t="s">
        <v>268</v>
      </c>
      <c r="C31" s="68"/>
      <c r="D31" s="68"/>
      <c r="E31" s="68"/>
      <c r="F31" s="68"/>
    </row>
    <row r="32" customFormat="false" ht="15.75" hidden="false" customHeight="true" outlineLevel="0" collapsed="false">
      <c r="A32" s="69" t="s">
        <v>269</v>
      </c>
      <c r="B32" s="21" t="s">
        <v>270</v>
      </c>
      <c r="C32" s="21"/>
      <c r="D32" s="21"/>
      <c r="E32" s="21"/>
      <c r="F32" s="21"/>
    </row>
    <row r="33" customFormat="false" ht="15.75" hidden="false" customHeight="true" outlineLevel="0" collapsed="false">
      <c r="A33" s="69"/>
      <c r="B33" s="21" t="s">
        <v>271</v>
      </c>
      <c r="C33" s="21"/>
      <c r="D33" s="21"/>
      <c r="E33" s="21"/>
      <c r="F33" s="21"/>
    </row>
    <row r="34" customFormat="false" ht="15.75" hidden="false" customHeight="true" outlineLevel="0" collapsed="false">
      <c r="A34" s="69"/>
      <c r="B34" s="21" t="s">
        <v>272</v>
      </c>
      <c r="C34" s="21"/>
      <c r="D34" s="21"/>
      <c r="E34" s="21"/>
      <c r="F34" s="21"/>
    </row>
    <row r="35" customFormat="false" ht="15.75" hidden="false" customHeight="true" outlineLevel="0" collapsed="false">
      <c r="A35" s="69"/>
      <c r="B35" s="21" t="s">
        <v>273</v>
      </c>
      <c r="C35" s="21"/>
      <c r="D35" s="21"/>
      <c r="E35" s="21"/>
      <c r="F35" s="21"/>
    </row>
    <row r="36" customFormat="false" ht="15.75" hidden="false" customHeight="true" outlineLevel="0" collapsed="false">
      <c r="A36" s="69"/>
      <c r="B36" s="21" t="s">
        <v>274</v>
      </c>
      <c r="C36" s="21"/>
      <c r="D36" s="21"/>
      <c r="E36" s="21"/>
      <c r="F36" s="21"/>
    </row>
    <row r="38" customFormat="false" ht="19.5" hidden="false" customHeight="true" outlineLevel="0" collapsed="false">
      <c r="A38" s="19" t="s">
        <v>275</v>
      </c>
      <c r="B38" s="19"/>
      <c r="C38" s="19"/>
      <c r="D38" s="19"/>
      <c r="E38" s="19"/>
      <c r="F38" s="19"/>
    </row>
    <row r="39" customFormat="false" ht="15.75" hidden="false" customHeight="true" outlineLevel="0" collapsed="false">
      <c r="A39" s="67" t="s">
        <v>264</v>
      </c>
      <c r="B39" s="68" t="s">
        <v>276</v>
      </c>
      <c r="C39" s="68"/>
      <c r="D39" s="68"/>
      <c r="E39" s="68"/>
      <c r="F39" s="68"/>
    </row>
    <row r="40" customFormat="false" ht="15.75" hidden="false" customHeight="true" outlineLevel="0" collapsed="false">
      <c r="A40" s="69" t="s">
        <v>266</v>
      </c>
      <c r="B40" s="21" t="s">
        <v>277</v>
      </c>
      <c r="C40" s="21"/>
      <c r="D40" s="21"/>
      <c r="E40" s="21"/>
      <c r="F40" s="21"/>
    </row>
    <row r="41" customFormat="false" ht="28.5" hidden="false" customHeight="true" outlineLevel="0" collapsed="false">
      <c r="A41" s="67" t="s">
        <v>228</v>
      </c>
      <c r="B41" s="68" t="s">
        <v>278</v>
      </c>
      <c r="C41" s="68"/>
      <c r="D41" s="68"/>
      <c r="E41" s="68"/>
      <c r="F41" s="68"/>
    </row>
    <row r="42" customFormat="false" ht="15.75" hidden="false" customHeight="true" outlineLevel="0" collapsed="false">
      <c r="A42" s="69" t="s">
        <v>269</v>
      </c>
      <c r="B42" s="21" t="s">
        <v>279</v>
      </c>
      <c r="C42" s="21"/>
      <c r="D42" s="21"/>
      <c r="E42" s="21"/>
      <c r="F42" s="21"/>
    </row>
    <row r="43" customFormat="false" ht="15.75" hidden="false" customHeight="true" outlineLevel="0" collapsed="false">
      <c r="A43" s="69"/>
      <c r="B43" s="21" t="s">
        <v>280</v>
      </c>
      <c r="C43" s="21"/>
      <c r="D43" s="21"/>
      <c r="E43" s="21"/>
      <c r="F43" s="21"/>
    </row>
    <row r="44" customFormat="false" ht="15.75" hidden="false" customHeight="true" outlineLevel="0" collapsed="false">
      <c r="A44" s="69"/>
      <c r="B44" s="21" t="s">
        <v>281</v>
      </c>
      <c r="C44" s="21"/>
      <c r="D44" s="21"/>
      <c r="E44" s="21"/>
      <c r="F44" s="21"/>
    </row>
    <row r="45" customFormat="false" ht="15.75" hidden="false" customHeight="true" outlineLevel="0" collapsed="false">
      <c r="A45" s="69"/>
      <c r="B45" s="21" t="s">
        <v>282</v>
      </c>
      <c r="C45" s="21"/>
      <c r="D45" s="21"/>
      <c r="E45" s="21"/>
      <c r="F45" s="21"/>
    </row>
    <row r="47" customFormat="false" ht="19.5" hidden="false" customHeight="true" outlineLevel="0" collapsed="false">
      <c r="A47" s="5" t="s">
        <v>283</v>
      </c>
      <c r="B47" s="5"/>
      <c r="C47" s="5"/>
      <c r="D47" s="5"/>
      <c r="E47" s="5"/>
      <c r="F47" s="5"/>
    </row>
    <row r="48" customFormat="false" ht="15.75" hidden="false" customHeight="true" outlineLevel="0" collapsed="false">
      <c r="A48" s="69"/>
      <c r="B48" s="21" t="s">
        <v>70</v>
      </c>
      <c r="C48" s="21"/>
      <c r="D48" s="21"/>
      <c r="E48" s="21"/>
      <c r="F48" s="21"/>
    </row>
    <row r="49" customFormat="false" ht="15.75" hidden="false" customHeight="true" outlineLevel="0" collapsed="false">
      <c r="A49" s="69"/>
      <c r="B49" s="21" t="s">
        <v>71</v>
      </c>
      <c r="C49" s="21"/>
      <c r="D49" s="21"/>
      <c r="E49" s="21"/>
      <c r="F49" s="21"/>
    </row>
    <row r="50" customFormat="false" ht="15.75" hidden="false" customHeight="true" outlineLevel="0" collapsed="false">
      <c r="A50" s="69"/>
      <c r="B50" s="21" t="s">
        <v>72</v>
      </c>
      <c r="C50" s="21"/>
      <c r="D50" s="21"/>
      <c r="E50" s="21"/>
      <c r="F50" s="21"/>
    </row>
    <row r="51" customFormat="false" ht="15.75" hidden="false" customHeight="true" outlineLevel="0" collapsed="false">
      <c r="A51" s="69"/>
      <c r="B51" s="21" t="s">
        <v>73</v>
      </c>
      <c r="C51" s="21"/>
      <c r="D51" s="21"/>
      <c r="E51" s="21"/>
      <c r="F51" s="21"/>
    </row>
    <row r="52" customFormat="false" ht="15.75" hidden="false" customHeight="true" outlineLevel="0" collapsed="false">
      <c r="A52" s="69"/>
      <c r="B52" s="21" t="s">
        <v>74</v>
      </c>
      <c r="C52" s="21"/>
      <c r="D52" s="21"/>
      <c r="E52" s="21"/>
      <c r="F52" s="21"/>
    </row>
    <row r="53" customFormat="false" ht="15.75" hidden="false" customHeight="true" outlineLevel="0" collapsed="false">
      <c r="A53" s="69"/>
      <c r="B53" s="21" t="s">
        <v>75</v>
      </c>
      <c r="C53" s="21"/>
      <c r="D53" s="21"/>
      <c r="E53" s="21"/>
      <c r="F53" s="21"/>
    </row>
    <row r="54" customFormat="false" ht="15.75" hidden="false" customHeight="true" outlineLevel="0" collapsed="false">
      <c r="A54" s="69"/>
      <c r="B54" s="21" t="s">
        <v>76</v>
      </c>
      <c r="C54" s="21"/>
      <c r="D54" s="21"/>
      <c r="E54" s="21"/>
      <c r="F54" s="21"/>
    </row>
    <row r="55" customFormat="false" ht="15.75" hidden="false" customHeight="true" outlineLevel="0" collapsed="false">
      <c r="A55" s="69"/>
      <c r="B55" s="21" t="s">
        <v>77</v>
      </c>
      <c r="C55" s="21"/>
      <c r="D55" s="21"/>
      <c r="E55" s="21"/>
      <c r="F55" s="21"/>
    </row>
    <row r="56" customFormat="false" ht="15.75" hidden="false" customHeight="true" outlineLevel="0" collapsed="false">
      <c r="A56" s="69"/>
      <c r="B56" s="21" t="s">
        <v>78</v>
      </c>
      <c r="C56" s="21"/>
      <c r="D56" s="21"/>
      <c r="E56" s="21"/>
      <c r="F56" s="21"/>
    </row>
    <row r="57" customFormat="false" ht="15.75" hidden="false" customHeight="true" outlineLevel="0" collapsed="false">
      <c r="A57" s="69"/>
      <c r="B57" s="21" t="s">
        <v>79</v>
      </c>
      <c r="C57" s="21"/>
      <c r="D57" s="21"/>
      <c r="E57" s="21"/>
      <c r="F57" s="21"/>
    </row>
    <row r="58" customFormat="false" ht="15.75" hidden="false" customHeight="true" outlineLevel="0" collapsed="false">
      <c r="A58" s="69"/>
      <c r="B58" s="21" t="s">
        <v>80</v>
      </c>
      <c r="C58" s="21"/>
      <c r="D58" s="21"/>
      <c r="E58" s="21"/>
      <c r="F58" s="21"/>
    </row>
    <row r="59" customFormat="false" ht="15.75" hidden="false" customHeight="true" outlineLevel="0" collapsed="false">
      <c r="A59" s="69"/>
      <c r="B59" s="21" t="s">
        <v>81</v>
      </c>
      <c r="C59" s="21"/>
      <c r="D59" s="21"/>
      <c r="E59" s="21"/>
      <c r="F59" s="21"/>
    </row>
    <row r="61" customFormat="false" ht="19.5" hidden="false" customHeight="true" outlineLevel="0" collapsed="false">
      <c r="A61" s="5" t="s">
        <v>284</v>
      </c>
      <c r="B61" s="5"/>
      <c r="C61" s="5"/>
      <c r="D61" s="5"/>
      <c r="E61" s="5"/>
      <c r="F61" s="5"/>
    </row>
    <row r="62" customFormat="false" ht="15.75" hidden="false" customHeight="true" outlineLevel="0" collapsed="false">
      <c r="A62" s="69" t="s">
        <v>285</v>
      </c>
      <c r="B62" s="21" t="s">
        <v>286</v>
      </c>
      <c r="C62" s="21"/>
      <c r="D62" s="21"/>
      <c r="E62" s="21"/>
      <c r="F62" s="21"/>
    </row>
    <row r="63" customFormat="false" ht="15.75" hidden="false" customHeight="true" outlineLevel="0" collapsed="false">
      <c r="A63" s="69" t="s">
        <v>287</v>
      </c>
      <c r="B63" s="21" t="s">
        <v>288</v>
      </c>
      <c r="C63" s="21"/>
      <c r="D63" s="21"/>
      <c r="E63" s="21"/>
      <c r="F63" s="21"/>
    </row>
    <row r="64" customFormat="false" ht="15.75" hidden="false" customHeight="true" outlineLevel="0" collapsed="false">
      <c r="A64" s="69" t="s">
        <v>289</v>
      </c>
      <c r="B64" s="21" t="s">
        <v>290</v>
      </c>
      <c r="C64" s="21"/>
      <c r="D64" s="21"/>
      <c r="E64" s="21"/>
      <c r="F64" s="21"/>
    </row>
    <row r="65" customFormat="false" ht="15.75" hidden="false" customHeight="true" outlineLevel="0" collapsed="false">
      <c r="A65" s="69" t="s">
        <v>291</v>
      </c>
      <c r="B65" s="21" t="s">
        <v>292</v>
      </c>
      <c r="C65" s="21"/>
      <c r="D65" s="21"/>
      <c r="E65" s="21"/>
      <c r="F65" s="21"/>
    </row>
    <row r="66" customFormat="false" ht="15.75" hidden="false" customHeight="true" outlineLevel="0" collapsed="false">
      <c r="A66" s="69" t="s">
        <v>293</v>
      </c>
      <c r="B66" s="21" t="s">
        <v>294</v>
      </c>
      <c r="C66" s="21"/>
      <c r="D66" s="21"/>
      <c r="E66" s="21"/>
      <c r="F66" s="21"/>
    </row>
    <row r="67" customFormat="false" ht="15.75" hidden="false" customHeight="true" outlineLevel="0" collapsed="false">
      <c r="A67" s="69" t="s">
        <v>295</v>
      </c>
      <c r="B67" s="21" t="s">
        <v>296</v>
      </c>
      <c r="C67" s="21"/>
      <c r="D67" s="21"/>
      <c r="E67" s="21"/>
      <c r="F67" s="21"/>
    </row>
    <row r="68" customFormat="false" ht="15.75" hidden="false" customHeight="true" outlineLevel="0" collapsed="false">
      <c r="A68" s="69" t="s">
        <v>297</v>
      </c>
      <c r="B68" s="21" t="s">
        <v>298</v>
      </c>
      <c r="C68" s="21"/>
      <c r="D68" s="21"/>
      <c r="E68" s="21"/>
      <c r="F68" s="21"/>
    </row>
    <row r="69" customFormat="false" ht="15.75" hidden="false" customHeight="true" outlineLevel="0" collapsed="false">
      <c r="A69" s="69" t="s">
        <v>299</v>
      </c>
      <c r="B69" s="21" t="s">
        <v>300</v>
      </c>
      <c r="C69" s="21"/>
      <c r="D69" s="21"/>
      <c r="E69" s="21"/>
      <c r="F69" s="21"/>
    </row>
    <row r="70" customFormat="false" ht="15.75" hidden="false" customHeight="true" outlineLevel="0" collapsed="false">
      <c r="A70" s="69" t="s">
        <v>301</v>
      </c>
      <c r="B70" s="21" t="s">
        <v>302</v>
      </c>
      <c r="C70" s="21"/>
      <c r="D70" s="21"/>
      <c r="E70" s="21"/>
      <c r="F70" s="21"/>
    </row>
    <row r="71" customFormat="false" ht="15.75" hidden="false" customHeight="true" outlineLevel="0" collapsed="false">
      <c r="A71" s="69" t="s">
        <v>303</v>
      </c>
      <c r="B71" s="21" t="s">
        <v>304</v>
      </c>
      <c r="C71" s="21"/>
      <c r="D71" s="21"/>
      <c r="E71" s="21"/>
      <c r="F71" s="21"/>
    </row>
    <row r="72" customFormat="false" ht="15.75" hidden="false" customHeight="true" outlineLevel="0" collapsed="false">
      <c r="A72" s="69" t="s">
        <v>305</v>
      </c>
      <c r="B72" s="21" t="s">
        <v>306</v>
      </c>
      <c r="C72" s="21"/>
      <c r="D72" s="21"/>
      <c r="E72" s="21"/>
      <c r="F72" s="21"/>
    </row>
    <row r="73" customFormat="false" ht="15.75" hidden="false" customHeight="true" outlineLevel="0" collapsed="false">
      <c r="A73" s="69" t="s">
        <v>307</v>
      </c>
      <c r="B73" s="21" t="s">
        <v>308</v>
      </c>
      <c r="C73" s="21"/>
      <c r="D73" s="21"/>
      <c r="E73" s="21"/>
      <c r="F73" s="21"/>
    </row>
    <row r="74" customFormat="false" ht="15.75" hidden="false" customHeight="true" outlineLevel="0" collapsed="false">
      <c r="A74" s="69" t="s">
        <v>309</v>
      </c>
      <c r="B74" s="21" t="s">
        <v>310</v>
      </c>
      <c r="C74" s="21"/>
      <c r="D74" s="21"/>
      <c r="E74" s="21"/>
      <c r="F74" s="21"/>
    </row>
    <row r="75" customFormat="false" ht="15.75" hidden="false" customHeight="true" outlineLevel="0" collapsed="false">
      <c r="A75" s="69" t="s">
        <v>311</v>
      </c>
      <c r="B75" s="21" t="s">
        <v>312</v>
      </c>
      <c r="C75" s="21"/>
      <c r="D75" s="21"/>
      <c r="E75" s="21"/>
      <c r="F75" s="21"/>
    </row>
    <row r="76" customFormat="false" ht="15.75" hidden="false" customHeight="true" outlineLevel="0" collapsed="false">
      <c r="A76" s="69" t="s">
        <v>313</v>
      </c>
      <c r="B76" s="21" t="s">
        <v>314</v>
      </c>
      <c r="C76" s="21"/>
      <c r="D76" s="21"/>
      <c r="E76" s="21"/>
      <c r="F76" s="21"/>
    </row>
    <row r="77" customFormat="false" ht="15.75" hidden="false" customHeight="true" outlineLevel="0" collapsed="false">
      <c r="A77" s="69" t="s">
        <v>315</v>
      </c>
      <c r="B77" s="21" t="s">
        <v>316</v>
      </c>
      <c r="C77" s="21"/>
      <c r="D77" s="21"/>
      <c r="E77" s="21"/>
      <c r="F77" s="21"/>
    </row>
    <row r="78" customFormat="false" ht="15.75" hidden="false" customHeight="true" outlineLevel="0" collapsed="false">
      <c r="A78" s="69" t="s">
        <v>317</v>
      </c>
      <c r="B78" s="21" t="s">
        <v>318</v>
      </c>
      <c r="C78" s="21"/>
      <c r="D78" s="21"/>
      <c r="E78" s="21"/>
      <c r="F78" s="21"/>
    </row>
  </sheetData>
  <mergeCells count="87">
    <mergeCell ref="A1:F1"/>
    <mergeCell ref="A2:F2"/>
    <mergeCell ref="A4:F4"/>
    <mergeCell ref="A5:F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2:F22"/>
    <mergeCell ref="C23:F23"/>
    <mergeCell ref="C24:F24"/>
    <mergeCell ref="C25:F25"/>
    <mergeCell ref="C26:F26"/>
    <mergeCell ref="A28:F28"/>
    <mergeCell ref="B29:F29"/>
    <mergeCell ref="B30:F30"/>
    <mergeCell ref="B31:F31"/>
    <mergeCell ref="B32:F32"/>
    <mergeCell ref="B33:F33"/>
    <mergeCell ref="B34:F34"/>
    <mergeCell ref="B35:F35"/>
    <mergeCell ref="B36:F36"/>
    <mergeCell ref="A38:F38"/>
    <mergeCell ref="B39:F39"/>
    <mergeCell ref="B40:F40"/>
    <mergeCell ref="B41:F41"/>
    <mergeCell ref="B42:F42"/>
    <mergeCell ref="B43:F43"/>
    <mergeCell ref="B44:F44"/>
    <mergeCell ref="B45:F45"/>
    <mergeCell ref="A47:F47"/>
    <mergeCell ref="B48:F48"/>
    <mergeCell ref="B49:F49"/>
    <mergeCell ref="B50:F50"/>
    <mergeCell ref="B51:F51"/>
    <mergeCell ref="B52:F52"/>
    <mergeCell ref="B53:F53"/>
    <mergeCell ref="B54:F54"/>
    <mergeCell ref="B55:F55"/>
    <mergeCell ref="B56:F56"/>
    <mergeCell ref="B57:F57"/>
    <mergeCell ref="B58:F58"/>
    <mergeCell ref="B59:F59"/>
    <mergeCell ref="A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2"/>
    <col collapsed="false" customWidth="true" hidden="false" outlineLevel="0" max="3" min="3" style="0" width="95"/>
  </cols>
  <sheetData>
    <row r="1" customFormat="false" ht="24" hidden="false" customHeight="true" outlineLevel="0" collapsed="false">
      <c r="A1" s="70" t="s">
        <v>319</v>
      </c>
      <c r="B1" s="70"/>
      <c r="C1" s="70"/>
    </row>
    <row r="2" customFormat="false" ht="15" hidden="false" customHeight="false" outlineLevel="0" collapsed="false">
      <c r="A2" s="71" t="s">
        <v>320</v>
      </c>
      <c r="B2" s="71"/>
      <c r="C2" s="71"/>
    </row>
    <row r="3" customFormat="false" ht="18" hidden="false" customHeight="true" outlineLevel="0" collapsed="false">
      <c r="A3" s="54" t="s">
        <v>321</v>
      </c>
      <c r="B3" s="54" t="s">
        <v>322</v>
      </c>
      <c r="C3" s="54" t="s">
        <v>323</v>
      </c>
    </row>
    <row r="4" customFormat="false" ht="54" hidden="false" customHeight="true" outlineLevel="0" collapsed="false">
      <c r="A4" s="72" t="s">
        <v>324</v>
      </c>
      <c r="B4" s="33" t="s">
        <v>325</v>
      </c>
      <c r="C4" s="33" t="s">
        <v>326</v>
      </c>
    </row>
    <row r="5" customFormat="false" ht="41.25" hidden="false" customHeight="true" outlineLevel="0" collapsed="false">
      <c r="A5" s="72" t="s">
        <v>327</v>
      </c>
      <c r="B5" s="33" t="s">
        <v>328</v>
      </c>
      <c r="C5" s="33" t="s">
        <v>329</v>
      </c>
    </row>
    <row r="6" customFormat="false" ht="15.75" hidden="false" customHeight="true" outlineLevel="0" collapsed="false">
      <c r="A6" s="72" t="s">
        <v>330</v>
      </c>
      <c r="B6" s="33" t="s">
        <v>331</v>
      </c>
      <c r="C6" s="33" t="s">
        <v>332</v>
      </c>
    </row>
    <row r="7" customFormat="false" ht="28.5" hidden="false" customHeight="true" outlineLevel="0" collapsed="false">
      <c r="A7" s="72" t="s">
        <v>333</v>
      </c>
      <c r="B7" s="33" t="s">
        <v>334</v>
      </c>
      <c r="C7" s="33" t="s">
        <v>335</v>
      </c>
    </row>
    <row r="8" customFormat="false" ht="28.5" hidden="false" customHeight="true" outlineLevel="0" collapsed="false">
      <c r="A8" s="72" t="s">
        <v>336</v>
      </c>
      <c r="B8" s="33" t="s">
        <v>92</v>
      </c>
      <c r="C8" s="33" t="s">
        <v>337</v>
      </c>
    </row>
    <row r="9" customFormat="false" ht="28.5" hidden="false" customHeight="true" outlineLevel="0" collapsed="false">
      <c r="A9" s="72" t="s">
        <v>338</v>
      </c>
      <c r="B9" s="33" t="s">
        <v>128</v>
      </c>
      <c r="C9" s="33" t="s">
        <v>339</v>
      </c>
    </row>
    <row r="10" customFormat="false" ht="28.5" hidden="false" customHeight="true" outlineLevel="0" collapsed="false">
      <c r="A10" s="72" t="s">
        <v>340</v>
      </c>
      <c r="B10" s="33" t="s">
        <v>334</v>
      </c>
      <c r="C10" s="33" t="s">
        <v>341</v>
      </c>
    </row>
    <row r="11" customFormat="false" ht="15.75" hidden="false" customHeight="true" outlineLevel="0" collapsed="false">
      <c r="A11" s="72" t="s">
        <v>342</v>
      </c>
      <c r="B11" s="33" t="s">
        <v>176</v>
      </c>
      <c r="C11" s="33" t="s">
        <v>343</v>
      </c>
    </row>
    <row r="12" customFormat="false" ht="28.5" hidden="false" customHeight="true" outlineLevel="0" collapsed="false">
      <c r="A12" s="72" t="s">
        <v>344</v>
      </c>
      <c r="B12" s="33" t="s">
        <v>345</v>
      </c>
      <c r="C12" s="33" t="s">
        <v>346</v>
      </c>
    </row>
    <row r="13" customFormat="false" ht="28.5" hidden="false" customHeight="true" outlineLevel="0" collapsed="false">
      <c r="A13" s="72" t="s">
        <v>347</v>
      </c>
      <c r="B13" s="33" t="s">
        <v>182</v>
      </c>
      <c r="C13" s="33" t="s">
        <v>348</v>
      </c>
    </row>
    <row r="14" customFormat="false" ht="28.5" hidden="false" customHeight="true" outlineLevel="0" collapsed="false">
      <c r="A14" s="72" t="s">
        <v>349</v>
      </c>
      <c r="B14" s="33" t="s">
        <v>350</v>
      </c>
      <c r="C14" s="33" t="s">
        <v>351</v>
      </c>
    </row>
    <row r="15" customFormat="false" ht="15.75" hidden="false" customHeight="true" outlineLevel="0" collapsed="false">
      <c r="A15" s="72" t="s">
        <v>352</v>
      </c>
      <c r="B15" s="33" t="s">
        <v>134</v>
      </c>
      <c r="C15" s="33" t="s">
        <v>353</v>
      </c>
    </row>
    <row r="16" customFormat="false" ht="15.75" hidden="false" customHeight="true" outlineLevel="0" collapsed="false">
      <c r="A16" s="72" t="s">
        <v>354</v>
      </c>
      <c r="B16" s="33" t="s">
        <v>151</v>
      </c>
      <c r="C16" s="33" t="s">
        <v>355</v>
      </c>
    </row>
    <row r="17" customFormat="false" ht="28.5" hidden="false" customHeight="true" outlineLevel="0" collapsed="false">
      <c r="A17" s="72" t="s">
        <v>356</v>
      </c>
      <c r="B17" s="33" t="s">
        <v>357</v>
      </c>
      <c r="C17" s="33" t="s">
        <v>358</v>
      </c>
    </row>
    <row r="18" customFormat="false" ht="28.5" hidden="false" customHeight="true" outlineLevel="0" collapsed="false">
      <c r="A18" s="72" t="s">
        <v>359</v>
      </c>
      <c r="B18" s="33" t="s">
        <v>334</v>
      </c>
      <c r="C18" s="33" t="s">
        <v>360</v>
      </c>
    </row>
    <row r="19" customFormat="false" ht="41.25" hidden="false" customHeight="true" outlineLevel="0" collapsed="false">
      <c r="A19" s="72" t="s">
        <v>361</v>
      </c>
      <c r="B19" s="33" t="s">
        <v>362</v>
      </c>
      <c r="C19" s="33" t="s">
        <v>363</v>
      </c>
    </row>
    <row r="20" customFormat="false" ht="15.75" hidden="false" customHeight="true" outlineLevel="0" collapsed="false">
      <c r="A20" s="72" t="s">
        <v>364</v>
      </c>
      <c r="B20" s="33" t="s">
        <v>112</v>
      </c>
      <c r="C20" s="33" t="s">
        <v>365</v>
      </c>
    </row>
    <row r="21" customFormat="false" ht="28.5" hidden="false" customHeight="true" outlineLevel="0" collapsed="false">
      <c r="A21" s="72" t="s">
        <v>366</v>
      </c>
      <c r="B21" s="33" t="s">
        <v>367</v>
      </c>
      <c r="C21" s="33" t="s">
        <v>368</v>
      </c>
    </row>
    <row r="22" customFormat="false" ht="28.5" hidden="false" customHeight="true" outlineLevel="0" collapsed="false">
      <c r="A22" s="72" t="s">
        <v>369</v>
      </c>
      <c r="B22" s="33" t="s">
        <v>170</v>
      </c>
      <c r="C22" s="33" t="s">
        <v>370</v>
      </c>
    </row>
    <row r="23" customFormat="false" ht="15.75" hidden="false" customHeight="true" outlineLevel="0" collapsed="false">
      <c r="A23" s="72" t="s">
        <v>371</v>
      </c>
      <c r="B23" s="33" t="s">
        <v>143</v>
      </c>
      <c r="C23" s="33" t="s">
        <v>372</v>
      </c>
    </row>
    <row r="24" customFormat="false" ht="28.5" hidden="false" customHeight="true" outlineLevel="0" collapsed="false">
      <c r="A24" s="72" t="s">
        <v>371</v>
      </c>
      <c r="B24" s="33" t="s">
        <v>188</v>
      </c>
      <c r="C24" s="33" t="s">
        <v>373</v>
      </c>
    </row>
    <row r="25" customFormat="false" ht="28.5" hidden="false" customHeight="true" outlineLevel="0" collapsed="false">
      <c r="A25" s="72" t="s">
        <v>374</v>
      </c>
      <c r="B25" s="33" t="s">
        <v>375</v>
      </c>
      <c r="C25" s="33" t="s">
        <v>376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8"/>
    <col collapsed="false" customWidth="true" hidden="false" outlineLevel="0" max="3" min="3" style="0" width="26"/>
    <col collapsed="false" customWidth="true" hidden="false" outlineLevel="0" max="4" min="4" style="0" width="44"/>
    <col collapsed="false" customWidth="true" hidden="false" outlineLevel="0" max="5" min="5" style="0" width="14"/>
    <col collapsed="false" customWidth="true" hidden="false" outlineLevel="0" max="6" min="6" style="0" width="40"/>
  </cols>
  <sheetData>
    <row r="1" customFormat="false" ht="25.5" hidden="false" customHeight="true" outlineLevel="0" collapsed="false">
      <c r="A1" s="51" t="s">
        <v>377</v>
      </c>
      <c r="B1" s="51"/>
      <c r="C1" s="51"/>
      <c r="D1" s="51"/>
      <c r="E1" s="51"/>
      <c r="F1" s="51"/>
    </row>
    <row r="2" customFormat="false" ht="15.75" hidden="false" customHeight="true" outlineLevel="0" collapsed="false">
      <c r="A2" s="21" t="s">
        <v>378</v>
      </c>
      <c r="B2" s="21"/>
      <c r="C2" s="21"/>
      <c r="D2" s="21"/>
      <c r="E2" s="21"/>
      <c r="F2" s="21"/>
    </row>
    <row r="4" customFormat="false" ht="19.5" hidden="false" customHeight="true" outlineLevel="0" collapsed="false">
      <c r="A4" s="5" t="s">
        <v>379</v>
      </c>
      <c r="B4" s="5"/>
      <c r="C4" s="5"/>
      <c r="D4" s="5"/>
      <c r="E4" s="5"/>
      <c r="F4" s="5"/>
    </row>
    <row r="5" customFormat="false" ht="18" hidden="false" customHeight="true" outlineLevel="0" collapsed="false">
      <c r="A5" s="54" t="s">
        <v>380</v>
      </c>
      <c r="B5" s="54" t="s">
        <v>381</v>
      </c>
      <c r="C5" s="54" t="s">
        <v>382</v>
      </c>
      <c r="D5" s="54" t="s">
        <v>383</v>
      </c>
      <c r="E5" s="54" t="s">
        <v>384</v>
      </c>
    </row>
    <row r="6" customFormat="false" ht="41.25" hidden="false" customHeight="true" outlineLevel="0" collapsed="false">
      <c r="A6" s="73" t="n">
        <v>1</v>
      </c>
      <c r="B6" s="33" t="s">
        <v>385</v>
      </c>
      <c r="C6" s="33" t="s">
        <v>386</v>
      </c>
      <c r="D6" s="74"/>
      <c r="E6" s="74"/>
    </row>
    <row r="7" customFormat="false" ht="31.5" hidden="false" customHeight="true" outlineLevel="0" collapsed="false">
      <c r="A7" s="73" t="n">
        <v>2</v>
      </c>
      <c r="B7" s="33" t="s">
        <v>387</v>
      </c>
      <c r="C7" s="33" t="s">
        <v>386</v>
      </c>
      <c r="D7" s="74"/>
      <c r="E7" s="74"/>
    </row>
    <row r="8" customFormat="false" ht="31.5" hidden="false" customHeight="true" outlineLevel="0" collapsed="false">
      <c r="A8" s="73" t="n">
        <v>3</v>
      </c>
      <c r="B8" s="33" t="s">
        <v>388</v>
      </c>
      <c r="C8" s="33" t="s">
        <v>389</v>
      </c>
      <c r="D8" s="74"/>
      <c r="E8" s="74"/>
    </row>
    <row r="9" customFormat="false" ht="31.5" hidden="false" customHeight="true" outlineLevel="0" collapsed="false">
      <c r="A9" s="73" t="n">
        <v>4</v>
      </c>
      <c r="B9" s="33" t="s">
        <v>390</v>
      </c>
      <c r="C9" s="33" t="s">
        <v>386</v>
      </c>
      <c r="D9" s="74"/>
      <c r="E9" s="74"/>
    </row>
    <row r="10" customFormat="false" ht="31.5" hidden="false" customHeight="true" outlineLevel="0" collapsed="false">
      <c r="A10" s="73" t="n">
        <v>5</v>
      </c>
      <c r="B10" s="33" t="s">
        <v>391</v>
      </c>
      <c r="C10" s="33" t="s">
        <v>392</v>
      </c>
      <c r="D10" s="74"/>
      <c r="E10" s="74"/>
    </row>
    <row r="11" customFormat="false" ht="31.5" hidden="false" customHeight="true" outlineLevel="0" collapsed="false">
      <c r="A11" s="73" t="n">
        <v>6</v>
      </c>
      <c r="B11" s="33" t="s">
        <v>393</v>
      </c>
      <c r="C11" s="33" t="s">
        <v>394</v>
      </c>
      <c r="D11" s="74"/>
      <c r="E11" s="74"/>
    </row>
    <row r="12" customFormat="false" ht="31.5" hidden="false" customHeight="true" outlineLevel="0" collapsed="false">
      <c r="A12" s="73" t="n">
        <v>7</v>
      </c>
      <c r="B12" s="33" t="s">
        <v>395</v>
      </c>
      <c r="C12" s="33" t="s">
        <v>386</v>
      </c>
      <c r="D12" s="74"/>
      <c r="E12" s="74"/>
    </row>
    <row r="13" customFormat="false" ht="41.25" hidden="false" customHeight="true" outlineLevel="0" collapsed="false">
      <c r="A13" s="73" t="n">
        <v>8</v>
      </c>
      <c r="B13" s="33" t="s">
        <v>396</v>
      </c>
      <c r="C13" s="33" t="s">
        <v>397</v>
      </c>
      <c r="D13" s="74"/>
      <c r="E13" s="74"/>
    </row>
    <row r="14" customFormat="false" ht="31.5" hidden="false" customHeight="true" outlineLevel="0" collapsed="false">
      <c r="A14" s="73" t="n">
        <v>9</v>
      </c>
      <c r="B14" s="33" t="s">
        <v>398</v>
      </c>
      <c r="C14" s="33" t="s">
        <v>399</v>
      </c>
      <c r="D14" s="74"/>
      <c r="E14" s="74"/>
    </row>
    <row r="15" customFormat="false" ht="31.5" hidden="false" customHeight="true" outlineLevel="0" collapsed="false">
      <c r="A15" s="73" t="n">
        <v>10</v>
      </c>
      <c r="B15" s="33" t="s">
        <v>400</v>
      </c>
      <c r="C15" s="33" t="s">
        <v>399</v>
      </c>
      <c r="D15" s="74"/>
      <c r="E15" s="74"/>
    </row>
    <row r="17" customFormat="false" ht="19.5" hidden="false" customHeight="true" outlineLevel="0" collapsed="false">
      <c r="A17" s="5" t="s">
        <v>401</v>
      </c>
      <c r="B17" s="5"/>
      <c r="C17" s="5"/>
      <c r="D17" s="5"/>
      <c r="E17" s="5"/>
      <c r="F17" s="5"/>
    </row>
    <row r="18" customFormat="false" ht="15.75" hidden="false" customHeight="true" outlineLevel="0" collapsed="false">
      <c r="A18" s="52" t="s">
        <v>402</v>
      </c>
      <c r="B18" s="52"/>
      <c r="C18" s="52"/>
      <c r="D18" s="52"/>
      <c r="E18" s="52"/>
      <c r="F18" s="52"/>
    </row>
    <row r="19" customFormat="false" ht="18" hidden="false" customHeight="true" outlineLevel="0" collapsed="false">
      <c r="A19" s="54" t="s">
        <v>403</v>
      </c>
      <c r="B19" s="54" t="s">
        <v>23</v>
      </c>
      <c r="C19" s="54" t="s">
        <v>404</v>
      </c>
      <c r="D19" s="54" t="s">
        <v>405</v>
      </c>
      <c r="E19" s="54" t="s">
        <v>406</v>
      </c>
      <c r="F19" s="54" t="s">
        <v>407</v>
      </c>
    </row>
    <row r="20" customFormat="false" ht="19.5" hidden="false" customHeight="true" outlineLevel="0" collapsed="false">
      <c r="A20" s="75" t="s">
        <v>408</v>
      </c>
      <c r="B20" s="75" t="s">
        <v>409</v>
      </c>
      <c r="C20" s="75" t="s">
        <v>88</v>
      </c>
      <c r="D20" s="75" t="s">
        <v>88</v>
      </c>
      <c r="E20" s="75" t="s">
        <v>15</v>
      </c>
      <c r="F20" s="75" t="s">
        <v>410</v>
      </c>
    </row>
    <row r="21" customFormat="false" ht="30" hidden="false" customHeight="true" outlineLevel="0" collapsed="false">
      <c r="A21" s="74"/>
      <c r="B21" s="74"/>
      <c r="C21" s="74"/>
      <c r="D21" s="74"/>
      <c r="E21" s="74"/>
      <c r="F21" s="74"/>
    </row>
    <row r="22" customFormat="false" ht="30" hidden="false" customHeight="true" outlineLevel="0" collapsed="false">
      <c r="A22" s="74"/>
      <c r="B22" s="74"/>
      <c r="C22" s="74"/>
      <c r="D22" s="74"/>
      <c r="E22" s="74"/>
      <c r="F22" s="74"/>
    </row>
    <row r="23" customFormat="false" ht="30" hidden="false" customHeight="true" outlineLevel="0" collapsed="false">
      <c r="A23" s="74"/>
      <c r="B23" s="74"/>
      <c r="C23" s="74"/>
      <c r="D23" s="74"/>
      <c r="E23" s="74"/>
      <c r="F23" s="74"/>
    </row>
    <row r="24" customFormat="false" ht="30" hidden="false" customHeight="true" outlineLevel="0" collapsed="false">
      <c r="A24" s="74"/>
      <c r="B24" s="74"/>
      <c r="C24" s="74"/>
      <c r="D24" s="74"/>
      <c r="E24" s="74"/>
      <c r="F24" s="74"/>
    </row>
    <row r="25" customFormat="false" ht="30" hidden="false" customHeight="true" outlineLevel="0" collapsed="false">
      <c r="A25" s="74"/>
      <c r="B25" s="74"/>
      <c r="C25" s="74"/>
      <c r="D25" s="74"/>
      <c r="E25" s="74"/>
      <c r="F25" s="74"/>
    </row>
    <row r="26" customFormat="false" ht="30" hidden="false" customHeight="true" outlineLevel="0" collapsed="false">
      <c r="A26" s="74"/>
      <c r="B26" s="74"/>
      <c r="C26" s="74"/>
      <c r="D26" s="74"/>
      <c r="E26" s="74"/>
      <c r="F26" s="74"/>
    </row>
    <row r="27" customFormat="false" ht="30" hidden="false" customHeight="true" outlineLevel="0" collapsed="false">
      <c r="A27" s="74"/>
      <c r="B27" s="74"/>
      <c r="C27" s="74"/>
      <c r="D27" s="74"/>
      <c r="E27" s="74"/>
      <c r="F27" s="74"/>
    </row>
    <row r="28" customFormat="false" ht="30" hidden="false" customHeight="true" outlineLevel="0" collapsed="false">
      <c r="A28" s="74"/>
      <c r="B28" s="74"/>
      <c r="C28" s="74"/>
      <c r="D28" s="74"/>
      <c r="E28" s="74"/>
      <c r="F28" s="74"/>
    </row>
    <row r="30" customFormat="false" ht="19.5" hidden="false" customHeight="true" outlineLevel="0" collapsed="false">
      <c r="A30" s="5" t="s">
        <v>411</v>
      </c>
      <c r="B30" s="5"/>
      <c r="C30" s="5"/>
      <c r="D30" s="5"/>
      <c r="E30" s="5"/>
      <c r="F30" s="5"/>
    </row>
    <row r="31" customFormat="false" ht="15.75" hidden="false" customHeight="true" outlineLevel="0" collapsed="false">
      <c r="A31" s="52" t="s">
        <v>412</v>
      </c>
      <c r="B31" s="52"/>
      <c r="C31" s="52"/>
      <c r="D31" s="52"/>
      <c r="E31" s="52"/>
      <c r="F31" s="52"/>
    </row>
    <row r="32" customFormat="false" ht="18" hidden="false" customHeight="true" outlineLevel="0" collapsed="false">
      <c r="A32" s="54" t="s">
        <v>403</v>
      </c>
      <c r="B32" s="54" t="s">
        <v>407</v>
      </c>
      <c r="C32" s="54" t="s">
        <v>413</v>
      </c>
      <c r="D32" s="54" t="s">
        <v>414</v>
      </c>
    </row>
    <row r="33" customFormat="false" ht="30" hidden="false" customHeight="true" outlineLevel="0" collapsed="false">
      <c r="A33" s="74"/>
      <c r="B33" s="74"/>
      <c r="C33" s="74"/>
      <c r="D33" s="74"/>
    </row>
    <row r="34" customFormat="false" ht="30" hidden="false" customHeight="true" outlineLevel="0" collapsed="false">
      <c r="A34" s="74"/>
      <c r="B34" s="74"/>
      <c r="C34" s="74"/>
      <c r="D34" s="74"/>
    </row>
    <row r="35" customFormat="false" ht="30" hidden="false" customHeight="true" outlineLevel="0" collapsed="false">
      <c r="A35" s="74"/>
      <c r="B35" s="74"/>
      <c r="C35" s="74"/>
      <c r="D35" s="74"/>
    </row>
    <row r="36" customFormat="false" ht="30" hidden="false" customHeight="true" outlineLevel="0" collapsed="false">
      <c r="A36" s="74"/>
      <c r="B36" s="74"/>
      <c r="C36" s="74"/>
      <c r="D36" s="74"/>
    </row>
    <row r="37" customFormat="false" ht="30" hidden="false" customHeight="true" outlineLevel="0" collapsed="false">
      <c r="A37" s="74"/>
      <c r="B37" s="74"/>
      <c r="C37" s="74"/>
      <c r="D37" s="74"/>
    </row>
    <row r="38" customFormat="false" ht="30" hidden="false" customHeight="true" outlineLevel="0" collapsed="false">
      <c r="A38" s="74"/>
      <c r="B38" s="74"/>
      <c r="C38" s="74"/>
      <c r="D38" s="74"/>
    </row>
    <row r="39" customFormat="false" ht="30" hidden="false" customHeight="true" outlineLevel="0" collapsed="false">
      <c r="A39" s="74"/>
      <c r="B39" s="74"/>
      <c r="C39" s="74"/>
      <c r="D39" s="74"/>
    </row>
    <row r="40" customFormat="false" ht="30" hidden="false" customHeight="true" outlineLevel="0" collapsed="false">
      <c r="A40" s="74"/>
      <c r="B40" s="74"/>
      <c r="C40" s="74"/>
      <c r="D40" s="74"/>
    </row>
    <row r="41" customFormat="false" ht="30" hidden="false" customHeight="true" outlineLevel="0" collapsed="false">
      <c r="A41" s="74"/>
      <c r="B41" s="74"/>
      <c r="C41" s="74"/>
      <c r="D41" s="74"/>
    </row>
    <row r="42" customFormat="false" ht="30" hidden="false" customHeight="true" outlineLevel="0" collapsed="false">
      <c r="A42" s="74"/>
      <c r="B42" s="74"/>
      <c r="C42" s="74"/>
      <c r="D42" s="74"/>
    </row>
    <row r="43" customFormat="false" ht="30" hidden="false" customHeight="true" outlineLevel="0" collapsed="false">
      <c r="A43" s="74"/>
      <c r="B43" s="74"/>
      <c r="C43" s="74"/>
      <c r="D43" s="74"/>
    </row>
    <row r="44" customFormat="false" ht="30" hidden="false" customHeight="true" outlineLevel="0" collapsed="false">
      <c r="A44" s="74"/>
      <c r="B44" s="74"/>
      <c r="C44" s="74"/>
      <c r="D44" s="74"/>
    </row>
  </sheetData>
  <mergeCells count="7">
    <mergeCell ref="A1:F1"/>
    <mergeCell ref="A2:F2"/>
    <mergeCell ref="A4:F4"/>
    <mergeCell ref="A17:F17"/>
    <mergeCell ref="A18:F18"/>
    <mergeCell ref="A30:F30"/>
    <mergeCell ref="A31:F31"/>
  </mergeCells>
  <dataValidations count="3">
    <dataValidation allowBlank="true" errorStyle="stop" operator="between" showDropDown="false" showErrorMessage="false" showInputMessage="false" sqref="C21:C28" type="list">
      <formula1>"REST,GraphQL,gRPC,Other"</formula1>
      <formula2>0</formula2>
    </dataValidation>
    <dataValidation allowBlank="true" errorStyle="stop" operator="between" showDropDown="false" showErrorMessage="false" showInputMessage="false" sqref="D21:D28" type="list">
      <formula1>"REST,GraphQL,gRPC,Out of scope,Assess separately"</formula1>
      <formula2>0</formula2>
    </dataValidation>
    <dataValidation allowBlank="true" error="Pick one of the listed options." errorStyle="stop" errorTitle="Not an option" operator="between" showDropDown="false" showErrorMessage="true" showInputMessage="false" sqref="E21:E28" type="list">
      <formula1>"Yes,No,Partly"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2026-10-23T08:07:27Z</dcterms:created>
  <dc:creator>openpyxl</dc:creator>
  <dc:description/>
  <dc:language>en-US</dc:language>
  <cp:lastModifiedBy/>
  <dcterms:modified xsi:type="dcterms:W3CDTF">2026-10-23T08:07:27Z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